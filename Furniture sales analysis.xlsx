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Excel Projects\"/>
    </mc:Choice>
  </mc:AlternateContent>
  <xr:revisionPtr revIDLastSave="0" documentId="13_ncr:1_{4F84BCF6-A125-455A-A25D-6FD16F61284E}" xr6:coauthVersionLast="47" xr6:coauthVersionMax="47" xr10:uidLastSave="{00000000-0000-0000-0000-000000000000}"/>
  <bookViews>
    <workbookView xWindow="-110" yWindow="-110" windowWidth="19420" windowHeight="10420" firstSheet="1" activeTab="2" xr2:uid="{C24C463E-B629-4D3B-9F68-3C6CCD6F84D0}"/>
  </bookViews>
  <sheets>
    <sheet name="Furniture_Sales" sheetId="2" r:id="rId1"/>
    <sheet name="Pivot Tables" sheetId="3" r:id="rId2"/>
    <sheet name="Dashboard" sheetId="1" r:id="rId3"/>
  </sheets>
  <definedNames>
    <definedName name="_xlchart.v5.0" hidden="1">'Pivot Tables'!$C$36</definedName>
    <definedName name="_xlchart.v5.1" hidden="1">'Pivot Tables'!$C$37:$C$84</definedName>
    <definedName name="_xlchart.v5.2" hidden="1">'Pivot Tables'!$D$36</definedName>
    <definedName name="_xlchart.v5.3" hidden="1">'Pivot Tables'!$D$37:$D$84</definedName>
    <definedName name="categorysales">'Pivot Tables'!$G$49</definedName>
    <definedName name="ExternalData_1" localSheetId="0" hidden="1">Furniture_Sales!$A$1:$T$2122</definedName>
    <definedName name="mostorders">'Pivot Tables'!$G$26</definedName>
    <definedName name="profit">'Pivot Tables'!$H$7</definedName>
    <definedName name="profityoy">'Pivot Tables'!$L$7</definedName>
    <definedName name="quantity">'Pivot Tables'!$H$6</definedName>
    <definedName name="quantityyoy">'Pivot Tables'!$L$6</definedName>
    <definedName name="sales">'Pivot Tables'!$H$5</definedName>
    <definedName name="salestrend">'Pivot Tables'!$A$15</definedName>
    <definedName name="salesyoy">'Pivot Tables'!$L$5</definedName>
    <definedName name="shipmode">'Pivot Tables'!$G$39</definedName>
    <definedName name="Slicer_Region">#N/A</definedName>
    <definedName name="Slicer_Segment">#N/A</definedName>
    <definedName name="topsellingcity">'Pivot Tables'!$G$15</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5" i="3" l="1"/>
  <c r="A15" i="3"/>
  <c r="K52" i="3"/>
  <c r="K53" i="3"/>
  <c r="K54" i="3"/>
  <c r="K51" i="3"/>
  <c r="K50" i="3"/>
  <c r="G49" i="3"/>
  <c r="G39" i="3"/>
  <c r="G26" i="3"/>
  <c r="K18" i="3"/>
  <c r="K19" i="3"/>
  <c r="K20" i="3"/>
  <c r="K21" i="3"/>
  <c r="K16" i="3"/>
  <c r="K17" i="3"/>
  <c r="J7" i="3"/>
  <c r="J6" i="3"/>
  <c r="J5" i="3"/>
  <c r="I7" i="3"/>
  <c r="K7" i="3" s="1"/>
  <c r="L7" i="3" s="1"/>
  <c r="I6" i="3"/>
  <c r="K6" i="3" s="1"/>
  <c r="L6" i="3" s="1"/>
  <c r="I5" i="3"/>
  <c r="K5" i="3" s="1"/>
  <c r="L5" i="3" s="1"/>
  <c r="H7" i="3"/>
  <c r="H6" i="3"/>
  <c r="H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297654-792F-4280-9D00-FF7731B27E35}"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sharedStrings.xml><?xml version="1.0" encoding="utf-8"?>
<sst xmlns="http://schemas.openxmlformats.org/spreadsheetml/2006/main" count="32020" uniqueCount="4434">
  <si>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</si>
  <si>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</si>
  <si>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</si>
  <si>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</si>
  <si>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</si>
  <si>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</si>
  <si>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</si>
  <si>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</si>
  <si>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</si>
  <si>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</si>
  <si>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</si>
  <si>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</si>
  <si>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</si>
  <si>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</si>
  <si>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</si>
  <si>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</si>
  <si>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</si>
  <si>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</si>
  <si>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</si>
  <si>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</si>
  <si>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</si>
  <si>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</si>
  <si>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</si>
  <si>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</si>
  <si>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</si>
  <si>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</si>
  <si>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</si>
  <si>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</si>
  <si>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</si>
  <si>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</si>
  <si>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</si>
  <si>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</si>
  <si>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</si>
  <si>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</si>
  <si>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</si>
  <si>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</si>
  <si>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</si>
  <si>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</si>
  <si>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</si>
  <si>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</si>
  <si>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</si>
  <si>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</si>
  <si>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</si>
  <si>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</si>
  <si>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</si>
  <si>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</si>
  <si>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</si>
  <si>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</si>
  <si>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</si>
  <si>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</si>
  <si>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</si>
  <si>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</si>
  <si>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</si>
  <si>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</si>
  <si>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</si>
  <si>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</si>
  <si>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</si>
  <si>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</si>
  <si>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</si>
  <si>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</si>
  <si>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</si>
  <si>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</si>
  <si>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</si>
  <si>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</si>
  <si>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</si>
  <si>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</si>
  <si>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</si>
  <si>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</si>
  <si>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</si>
  <si>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</si>
  <si>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</si>
  <si>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</si>
  <si>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</si>
  <si>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</si>
  <si>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</si>
  <si>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</si>
  <si>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</si>
  <si>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</si>
  <si>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</si>
  <si>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</si>
  <si>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</si>
  <si>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</si>
  <si>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</si>
  <si>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</si>
  <si>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</si>
  <si>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</si>
  <si>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</si>
  <si>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</si>
  <si>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</si>
  <si>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</si>
  <si>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</si>
  <si>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</si>
  <si>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</si>
  <si>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</si>
  <si>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</si>
  <si>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</si>
  <si>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</si>
  <si>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</si>
  <si>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</si>
  <si>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</si>
  <si>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</si>
  <si>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</si>
  <si>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</si>
  <si>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</si>
  <si>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</si>
  <si>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</si>
  <si>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</si>
  <si>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</si>
  <si>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</si>
  <si>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</si>
  <si>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</si>
  <si>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</si>
  <si>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</si>
  <si>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</si>
  <si>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</si>
  <si>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</si>
  <si>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</si>
  <si>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</si>
  <si>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</si>
  <si>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</si>
  <si>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</si>
  <si>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</si>
  <si>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</si>
  <si>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</si>
  <si>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</si>
  <si>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</si>
  <si>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</si>
  <si>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</si>
  <si>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</si>
  <si>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</si>
  <si>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</si>
  <si>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</si>
  <si>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</si>
  <si>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</si>
  <si>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</si>
  <si>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</si>
  <si>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</si>
  <si>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</si>
  <si>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</si>
  <si>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</si>
  <si>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</si>
  <si>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</si>
  <si>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</si>
  <si>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</si>
  <si>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</si>
  <si>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</si>
  <si>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</si>
  <si>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</si>
  <si>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</si>
  <si>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</si>
  <si>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</si>
  <si>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</si>
  <si>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</si>
  <si>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</si>
  <si>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</si>
  <si>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</si>
  <si>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</si>
  <si>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</si>
  <si>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</si>
  <si>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</si>
  <si>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</si>
  <si>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</si>
  <si>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</si>
  <si>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</si>
  <si>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</si>
  <si>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</si>
  <si>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</si>
  <si>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</si>
  <si>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</si>
  <si>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</si>
  <si>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</si>
  <si>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</si>
  <si>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</si>
  <si>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</si>
  <si>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</si>
  <si>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</si>
  <si>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</si>
  <si>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</si>
  <si>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</si>
  <si>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</si>
  <si>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</si>
  <si>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</si>
  <si>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</si>
  <si>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</si>
  <si>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</si>
  <si>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</si>
  <si>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</si>
  <si>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</si>
  <si>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</si>
  <si>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</si>
  <si>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</si>
  <si>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</si>
  <si>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</si>
  <si>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</si>
  <si>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</si>
  <si>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</si>
  <si>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</si>
  <si>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</si>
  <si>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</si>
  <si>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</si>
  <si>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</si>
  <si>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</si>
  <si>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</si>
  <si>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</si>
  <si>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</si>
  <si>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</si>
  <si>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</si>
  <si>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</si>
  <si>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</si>
  <si>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</si>
  <si>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</si>
  <si>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</si>
  <si>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</si>
  <si>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</si>
  <si>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</si>
  <si>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</si>
  <si>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</si>
  <si>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</si>
  <si>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</si>
  <si>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</si>
  <si>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</si>
  <si>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</si>
  <si>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</si>
  <si>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</si>
  <si>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</si>
  <si>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</si>
  <si>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</si>
  <si>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</si>
  <si>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</si>
  <si>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</si>
  <si>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</si>
  <si>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</si>
  <si>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</si>
  <si>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</si>
  <si>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</si>
  <si>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</si>
  <si>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</si>
  <si>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</si>
  <si>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</si>
  <si>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</si>
  <si>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</si>
  <si>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</si>
  <si>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</si>
  <si>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</si>
  <si>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</si>
  <si>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</si>
  <si>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</si>
  <si>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</si>
  <si>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</si>
  <si>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</si>
  <si>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</si>
  <si>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</si>
  <si>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</si>
  <si>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</si>
  <si>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</si>
  <si>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</si>
  <si>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</si>
  <si>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</si>
  <si>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</si>
  <si>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</si>
  <si>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</si>
  <si>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</si>
  <si>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</si>
  <si>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</si>
  <si>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</si>
  <si>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</si>
  <si>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</si>
  <si>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</si>
  <si>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</si>
  <si>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</si>
  <si>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</si>
  <si>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</si>
  <si>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</si>
  <si>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</si>
  <si>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</si>
  <si>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</si>
  <si>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</si>
  <si>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</si>
  <si>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</si>
  <si>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</si>
  <si>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</si>
  <si>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</si>
  <si>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</si>
  <si>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</si>
  <si>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</si>
  <si>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</si>
  <si>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</si>
  <si>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</si>
  <si>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</si>
  <si>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</si>
  <si>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</si>
  <si>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</si>
  <si>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</si>
  <si>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</si>
  <si>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</si>
  <si>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</si>
  <si>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</si>
  <si>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</si>
  <si>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</si>
  <si>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</si>
  <si>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</si>
  <si>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</si>
  <si>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</si>
  <si>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</si>
  <si>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</si>
  <si>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</si>
  <si>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</si>
  <si>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</si>
  <si>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</si>
  <si>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</si>
  <si>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</si>
  <si>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</si>
  <si>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</si>
  <si>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</si>
  <si>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</si>
  <si>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</si>
  <si>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</si>
  <si>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</si>
  <si>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</si>
  <si>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</si>
  <si>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</si>
  <si>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</si>
  <si>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</si>
  <si>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</si>
  <si>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</si>
  <si>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</si>
  <si>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</si>
  <si>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</si>
  <si>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</si>
  <si>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</si>
  <si>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</si>
  <si>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</si>
  <si>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</si>
  <si>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</si>
  <si>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</si>
  <si>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</si>
  <si>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</si>
  <si>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</si>
  <si>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</si>
  <si>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</si>
  <si>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</si>
  <si>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</si>
  <si>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</si>
  <si>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</si>
  <si>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</si>
  <si>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</si>
  <si>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</si>
  <si>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</si>
  <si>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</si>
  <si>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</si>
  <si>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</si>
  <si>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</si>
  <si>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</si>
  <si>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</si>
  <si>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</si>
  <si>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</si>
  <si>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</si>
  <si>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</si>
  <si>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</si>
  <si>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</si>
  <si>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</si>
  <si>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</si>
  <si>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</si>
  <si>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</si>
  <si>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</si>
  <si>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</si>
  <si>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</si>
  <si>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</si>
  <si>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</si>
  <si>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</si>
  <si>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</si>
  <si>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</si>
  <si>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</si>
  <si>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</si>
  <si>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</si>
  <si>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</si>
  <si>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</si>
  <si>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</si>
  <si>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</si>
  <si>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</si>
  <si>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</si>
  <si>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</si>
  <si>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</si>
  <si>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</si>
  <si>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</si>
  <si>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</si>
  <si>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</si>
  <si>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</si>
  <si>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</si>
  <si>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</si>
  <si>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</si>
  <si>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</si>
  <si>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</si>
  <si>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</si>
  <si>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</si>
  <si>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</si>
  <si>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</si>
  <si>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</si>
  <si>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</si>
  <si>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</si>
  <si>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</si>
  <si>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</si>
  <si>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</si>
  <si>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</si>
  <si>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</si>
  <si>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</si>
  <si>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</si>
  <si>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</si>
  <si>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</si>
  <si>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</si>
  <si>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</si>
  <si>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</si>
  <si>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</si>
  <si>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</si>
  <si>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</si>
  <si>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</si>
  <si>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</si>
  <si>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</si>
  <si>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</si>
  <si>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</si>
  <si>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</si>
  <si>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</si>
  <si>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</si>
  <si>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</si>
  <si>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</si>
  <si>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</si>
  <si>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</si>
  <si>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</si>
  <si>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</si>
  <si>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</si>
  <si>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</si>
  <si>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</si>
  <si>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</si>
  <si>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</si>
  <si>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</si>
  <si>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</si>
  <si>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</si>
  <si>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</si>
  <si>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</si>
  <si>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</si>
  <si>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</si>
  <si>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</si>
  <si>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</si>
  <si>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</si>
  <si>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</si>
  <si>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</si>
  <si>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</si>
  <si>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</si>
  <si>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</si>
  <si>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</si>
  <si>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</si>
  <si>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</si>
  <si>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</si>
  <si>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</si>
  <si>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</si>
  <si>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</si>
  <si>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</si>
  <si>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</si>
  <si>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</si>
  <si>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</si>
  <si>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</si>
  <si>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</si>
  <si>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</si>
  <si>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</si>
  <si>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</si>
  <si>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</si>
  <si>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</si>
  <si>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</si>
  <si>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</si>
  <si>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</si>
  <si>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</si>
  <si>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</si>
  <si>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</si>
  <si>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</si>
  <si>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</si>
  <si>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</si>
  <si>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</si>
  <si>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</si>
  <si>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</si>
  <si>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</si>
  <si>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</si>
  <si>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</si>
  <si>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</si>
  <si>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</si>
  <si>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</si>
  <si>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</si>
  <si>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</si>
  <si>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</si>
  <si>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</si>
  <si>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</si>
  <si>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</si>
  <si>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</si>
  <si>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</si>
  <si>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</si>
  <si>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</si>
  <si>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</si>
  <si>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</si>
  <si>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</si>
  <si>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</si>
  <si>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</si>
  <si>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</si>
  <si>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</si>
  <si>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</si>
  <si>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</si>
  <si>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</si>
  <si>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</si>
  <si>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</si>
  <si>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</si>
  <si>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</si>
  <si>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</si>
  <si>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</si>
  <si>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</si>
  <si>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</si>
  <si>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</si>
  <si>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</si>
  <si>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</si>
  <si>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</si>
  <si>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</si>
  <si>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</si>
  <si>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</si>
  <si>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</si>
  <si>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</si>
  <si>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</si>
  <si>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</si>
  <si>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</si>
  <si>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</si>
  <si>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</si>
  <si>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</si>
  <si>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</si>
  <si>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</si>
  <si>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</si>
  <si>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</si>
  <si>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</si>
  <si>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</si>
  <si>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</si>
  <si>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</si>
  <si>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</si>
  <si>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</si>
  <si>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</si>
  <si>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</si>
  <si>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</si>
  <si>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</si>
  <si>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</si>
  <si>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</si>
  <si>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</si>
  <si>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</si>
  <si>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</si>
  <si>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</si>
  <si>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</si>
  <si>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</si>
  <si>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</si>
  <si>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</si>
  <si>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</si>
  <si>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</si>
  <si>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</si>
  <si>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</si>
  <si>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</si>
  <si>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</si>
  <si>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</si>
  <si>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</si>
  <si>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</si>
  <si>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</si>
  <si>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</si>
  <si>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</si>
  <si>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</si>
  <si>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</si>
  <si>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</si>
  <si>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</si>
  <si>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</si>
  <si>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</si>
  <si>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</si>
  <si>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</si>
  <si>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</si>
  <si>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</si>
  <si>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</si>
  <si>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</si>
  <si>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</si>
  <si>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</si>
  <si>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</si>
  <si>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</si>
  <si>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</si>
  <si>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</si>
  <si>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</si>
  <si>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</si>
  <si>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</si>
  <si>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</si>
  <si>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</si>
  <si>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</si>
  <si>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</si>
  <si>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</si>
  <si>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</si>
  <si>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</si>
  <si>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</si>
  <si>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</si>
  <si>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</si>
  <si>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</si>
  <si>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</si>
  <si>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</si>
  <si>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</si>
  <si>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</si>
  <si>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</si>
  <si>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</si>
  <si>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</si>
  <si>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</si>
  <si>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</si>
  <si>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</si>
  <si>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</si>
  <si>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</si>
  <si>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</si>
  <si>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</si>
  <si>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</si>
  <si>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</si>
  <si>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</si>
  <si>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</si>
  <si>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</si>
  <si>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</si>
  <si>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</si>
  <si>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</si>
  <si>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</si>
  <si>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</si>
  <si>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</si>
  <si>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</si>
  <si>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</si>
  <si>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</si>
  <si>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</si>
  <si>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</si>
  <si>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</si>
  <si>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</si>
  <si>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</si>
  <si>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</si>
  <si>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</si>
  <si>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</si>
  <si>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</si>
  <si>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</si>
  <si>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</si>
  <si>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</si>
  <si>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</si>
  <si>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</si>
  <si>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</si>
  <si>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</si>
  <si>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</si>
  <si>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</si>
  <si>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</si>
  <si>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</si>
  <si>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</si>
  <si>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</si>
  <si>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</si>
  <si>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</si>
  <si>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</si>
  <si>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</si>
  <si>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</si>
  <si>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</si>
  <si>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</si>
  <si>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</si>
  <si>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</si>
  <si>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</si>
  <si>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</si>
  <si>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</si>
  <si>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</si>
  <si>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</si>
  <si>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</si>
  <si>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</si>
  <si>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</si>
  <si>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</si>
  <si>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</si>
  <si>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</si>
  <si>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</si>
  <si>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</si>
  <si>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</si>
  <si>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</si>
  <si>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</si>
  <si>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</si>
  <si>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</si>
  <si>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</si>
  <si>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</si>
  <si>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</si>
  <si>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</si>
  <si>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</si>
  <si>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</si>
  <si>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</si>
  <si>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</si>
  <si>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</si>
  <si>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</si>
  <si>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</si>
  <si>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</si>
  <si>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</si>
  <si>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</si>
  <si>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</si>
  <si>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</si>
  <si>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</si>
  <si>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</si>
  <si>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</si>
  <si>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</si>
  <si>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</si>
  <si>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</si>
  <si>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</si>
  <si>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</si>
  <si>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</si>
  <si>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</si>
  <si>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</si>
  <si>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</si>
  <si>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</si>
  <si>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</si>
  <si>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</si>
  <si>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</si>
  <si>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</si>
  <si>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</si>
  <si>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</si>
  <si>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</si>
  <si>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</si>
  <si>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</si>
  <si>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</si>
  <si>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</si>
  <si>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</si>
  <si>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</si>
  <si>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</si>
  <si>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</si>
  <si>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</si>
  <si>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</si>
  <si>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</si>
  <si>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</si>
  <si>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</si>
  <si>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</si>
  <si>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</si>
  <si>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</si>
  <si>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</si>
  <si>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</si>
  <si>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</si>
  <si>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</si>
  <si>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</si>
  <si>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</si>
  <si>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</si>
  <si>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</si>
  <si>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</si>
  <si>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</si>
  <si>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</si>
  <si>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</si>
  <si>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</si>
  <si>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</si>
  <si>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</si>
  <si>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</si>
  <si>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</si>
  <si>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</si>
  <si>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</si>
  <si>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</si>
  <si>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</si>
  <si>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</si>
  <si>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</si>
  <si>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</si>
  <si>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</si>
  <si>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</si>
  <si>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</si>
  <si>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</si>
  <si>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</si>
  <si>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</si>
  <si>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</si>
  <si>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</si>
  <si>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</si>
  <si>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</si>
  <si>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</si>
  <si>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</si>
  <si>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</si>
  <si>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</si>
  <si>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</si>
  <si>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</si>
  <si>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</si>
  <si>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</si>
  <si>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</si>
  <si>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</si>
  <si>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</si>
  <si>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</si>
  <si>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</si>
  <si>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</si>
  <si>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</si>
  <si>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</si>
  <si>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</si>
  <si>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</si>
  <si>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</si>
  <si>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</si>
  <si>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</si>
  <si>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</si>
  <si>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</si>
  <si>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</si>
  <si>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</si>
  <si>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</si>
  <si>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</si>
  <si>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</si>
  <si>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</si>
  <si>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</si>
  <si>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</si>
  <si>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</si>
  <si>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</si>
  <si>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</si>
  <si>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</si>
  <si>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</si>
  <si>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</si>
  <si>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</si>
  <si>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</si>
  <si>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</si>
  <si>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</si>
  <si>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</si>
  <si>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</si>
  <si>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</si>
  <si>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</si>
  <si>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</si>
  <si>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</si>
  <si>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</si>
  <si>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</si>
  <si>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</si>
  <si>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</si>
  <si>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</si>
  <si>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</si>
  <si>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</si>
  <si>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</si>
  <si>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</si>
  <si>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</si>
  <si>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</si>
  <si>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</si>
  <si>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</si>
  <si>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</si>
  <si>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</si>
  <si>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</si>
  <si>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</si>
  <si>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</si>
  <si>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</si>
  <si>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</si>
  <si>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</si>
  <si>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</si>
  <si>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</si>
  <si>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</si>
  <si>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</si>
  <si>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</si>
  <si>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</si>
  <si>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</si>
  <si>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</si>
  <si>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</si>
  <si>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</si>
  <si>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</si>
  <si>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</si>
  <si>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</si>
  <si>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</si>
  <si>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</si>
  <si>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</si>
  <si>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</si>
  <si>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</si>
  <si>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</si>
  <si>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</si>
  <si>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</si>
  <si>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</si>
  <si>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</si>
  <si>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</si>
  <si>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</si>
  <si>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</si>
  <si>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</si>
  <si>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</si>
  <si>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</si>
  <si>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</si>
  <si>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</si>
  <si>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</si>
  <si>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</si>
  <si>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</si>
  <si>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</si>
  <si>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</si>
  <si>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</si>
  <si>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</si>
  <si>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</si>
  <si>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</si>
  <si>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</si>
  <si>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</si>
  <si>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</si>
  <si>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</si>
  <si>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</si>
  <si>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</si>
  <si>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</si>
  <si>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</si>
  <si>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</si>
  <si>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</si>
  <si>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</si>
  <si>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</si>
  <si>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</si>
  <si>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</si>
  <si>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</si>
  <si>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</si>
  <si>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</si>
  <si>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</si>
  <si>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</si>
  <si>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</si>
  <si>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</si>
  <si>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</si>
  <si>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</si>
  <si>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</si>
  <si>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</si>
  <si>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</si>
  <si>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</si>
  <si>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</si>
  <si>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</si>
  <si>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</si>
  <si>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</si>
  <si>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</si>
  <si>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</si>
  <si>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</si>
  <si>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</si>
  <si>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</si>
  <si>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</si>
  <si>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</si>
  <si>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</si>
  <si>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</si>
  <si>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</si>
  <si>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</si>
  <si>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</si>
  <si>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</si>
  <si>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</si>
  <si>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</si>
  <si>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</si>
  <si>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</si>
  <si>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</si>
  <si>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</si>
  <si>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</si>
  <si>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</si>
  <si>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</si>
  <si>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</si>
  <si>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</si>
  <si>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</si>
  <si>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</si>
  <si>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</si>
  <si>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</si>
  <si>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</si>
  <si>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</si>
  <si>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</si>
  <si>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</si>
  <si>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</si>
  <si>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</si>
  <si>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</si>
  <si>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</si>
  <si>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</si>
  <si>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</si>
  <si>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</si>
  <si>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</si>
  <si>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</si>
  <si>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</si>
  <si>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</si>
  <si>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</si>
  <si>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</si>
  <si>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</si>
  <si>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</si>
  <si>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</si>
  <si>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</si>
  <si>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</si>
  <si>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</si>
  <si>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</si>
  <si>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</si>
  <si>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</si>
  <si>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</si>
  <si>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</si>
  <si>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</si>
  <si>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</si>
  <si>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</si>
  <si>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</si>
  <si>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</si>
  <si>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</si>
  <si>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</si>
  <si>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</si>
  <si>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</si>
  <si>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</si>
  <si>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</si>
  <si>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</si>
  <si>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</si>
  <si>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</si>
  <si>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</si>
  <si>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</si>
  <si>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</si>
  <si>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</si>
  <si>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</si>
  <si>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</si>
  <si>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</si>
  <si>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</si>
  <si>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</si>
  <si>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</si>
  <si>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</si>
  <si>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</si>
  <si>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</si>
  <si>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</si>
  <si>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</si>
  <si>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</si>
  <si>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</si>
  <si>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</si>
  <si>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</si>
  <si>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</si>
  <si>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</si>
  <si>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</si>
  <si>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</si>
  <si>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</si>
  <si>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</si>
  <si>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</si>
  <si>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</si>
  <si>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</si>
  <si>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</si>
  <si>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</si>
  <si>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</si>
  <si>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</si>
  <si>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</si>
  <si>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</si>
  <si>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</si>
  <si>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</si>
  <si>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</si>
  <si>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</si>
  <si>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</si>
  <si>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</si>
  <si>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</si>
  <si>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</si>
  <si>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</si>
  <si>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</si>
  <si>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</si>
  <si>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</si>
  <si>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</si>
  <si>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</si>
  <si>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</si>
  <si>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</si>
  <si>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</si>
  <si>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</si>
  <si>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</si>
  <si>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</si>
  <si>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</si>
  <si>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</si>
  <si>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</si>
  <si>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</si>
  <si>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</si>
  <si>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</si>
  <si>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</si>
  <si>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</si>
  <si>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</si>
  <si>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</si>
  <si>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</si>
  <si>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</si>
  <si>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</si>
  <si>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</si>
  <si>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</si>
  <si>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</si>
  <si>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</si>
  <si>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</si>
  <si>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</si>
  <si>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</si>
  <si>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</si>
  <si>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</si>
  <si>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</si>
  <si>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</si>
  <si>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</si>
  <si>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</si>
  <si>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</si>
  <si>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</si>
  <si>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</si>
  <si>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</si>
  <si>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</si>
  <si>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</si>
  <si>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</si>
  <si>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</si>
  <si>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</si>
  <si>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</si>
  <si>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</si>
  <si>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</si>
  <si>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</si>
  <si>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</si>
  <si>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</si>
  <si>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</si>
  <si>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</si>
  <si>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</si>
  <si>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</si>
  <si>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</si>
  <si>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</si>
  <si>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</si>
  <si>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</si>
  <si>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</si>
  <si>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</si>
  <si>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</si>
  <si>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</si>
  <si>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</si>
  <si>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</si>
  <si>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</si>
  <si>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</si>
  <si>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</si>
  <si>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</si>
  <si>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</si>
  <si>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</si>
  <si>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</si>
  <si>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</si>
  <si>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</si>
  <si>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</si>
  <si>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</si>
  <si>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</si>
  <si>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</si>
  <si>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</si>
  <si>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</si>
  <si>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</si>
  <si>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</si>
  <si>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</si>
  <si>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</si>
  <si>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</si>
  <si>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</si>
  <si>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</si>
  <si>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</si>
  <si>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</si>
  <si>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</si>
  <si>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</si>
  <si>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</si>
  <si>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</si>
  <si>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</si>
  <si>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</si>
  <si>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</si>
  <si>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</si>
  <si>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</si>
  <si>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</si>
  <si>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</si>
  <si>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</si>
  <si>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</si>
  <si>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</si>
  <si>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</si>
  <si>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</si>
  <si>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</si>
  <si>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</si>
  <si>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</si>
  <si>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</si>
  <si>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</si>
  <si>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</si>
  <si>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</si>
  <si>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</si>
  <si>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</si>
  <si>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</si>
  <si>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</si>
  <si>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</si>
  <si>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</si>
  <si>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</si>
  <si>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</si>
  <si>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</si>
  <si>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</si>
  <si>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</si>
  <si>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</si>
  <si>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</si>
  <si>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</si>
  <si>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</si>
  <si>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</si>
  <si>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</si>
  <si>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</si>
  <si>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</si>
  <si>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</si>
  <si>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</si>
  <si>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</si>
  <si>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</si>
  <si>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</si>
  <si>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</si>
  <si>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</si>
  <si>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</si>
  <si>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</si>
  <si>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</si>
  <si>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</si>
  <si>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</si>
  <si>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</si>
  <si>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</si>
  <si>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</si>
  <si>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</si>
  <si>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</si>
  <si>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</si>
  <si>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</si>
  <si>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</si>
  <si>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</si>
  <si>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</si>
  <si>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</si>
  <si>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</si>
  <si>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</si>
  <si>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</si>
  <si>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</si>
  <si>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</si>
  <si>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</si>
  <si>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</si>
  <si>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</si>
  <si>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</si>
  <si>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</si>
  <si>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</si>
  <si>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</si>
  <si>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</si>
  <si>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</si>
  <si>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</si>
  <si>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</si>
  <si>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</si>
  <si>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</si>
  <si>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</si>
  <si>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</si>
  <si>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</si>
  <si>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</si>
  <si>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</si>
  <si>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</si>
  <si>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</si>
  <si>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</si>
  <si>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</si>
  <si>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</si>
  <si>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</si>
  <si>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</si>
  <si>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</si>
  <si>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</si>
  <si>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</si>
  <si>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</si>
  <si>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</si>
  <si>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</si>
  <si>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</si>
  <si>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</si>
  <si>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</si>
  <si>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</si>
  <si>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</si>
  <si>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</si>
  <si>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</si>
  <si>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</si>
  <si>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</si>
  <si>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</si>
  <si>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</si>
  <si>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</si>
  <si>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</si>
  <si>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</si>
  <si>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</si>
  <si>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</si>
  <si>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</si>
  <si>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</si>
  <si>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</si>
  <si>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</si>
  <si>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</si>
  <si>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</si>
  <si>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</si>
  <si>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</si>
  <si>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</si>
  <si>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</si>
  <si>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</si>
  <si>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</si>
  <si>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</si>
  <si>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</si>
  <si>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</si>
  <si>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</si>
  <si>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</si>
  <si>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</si>
  <si>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</si>
  <si>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</si>
  <si>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</si>
  <si>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</si>
  <si>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</si>
  <si>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</si>
  <si>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</si>
  <si>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</si>
  <si>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</si>
  <si>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</si>
  <si>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</si>
  <si>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</si>
  <si>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</si>
  <si>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</si>
  <si>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</si>
  <si>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</si>
  <si>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</si>
  <si>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</si>
  <si>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</si>
  <si>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</si>
  <si>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</si>
  <si>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</si>
  <si>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</si>
  <si>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</si>
  <si>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</si>
  <si>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</si>
  <si>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</si>
  <si>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</si>
  <si>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</si>
  <si>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</si>
  <si>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</si>
  <si>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</si>
  <si>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</si>
  <si>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</si>
  <si>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</si>
  <si>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</si>
  <si>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</si>
  <si>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</si>
  <si>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</si>
  <si>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</si>
  <si>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</si>
  <si>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</si>
  <si>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</si>
  <si>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</si>
  <si>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</si>
  <si>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</si>
  <si>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</si>
  <si>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</si>
  <si>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</si>
  <si>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</si>
  <si>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</si>
  <si>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</si>
  <si>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</si>
  <si>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</si>
  <si>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</si>
  <si>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</si>
  <si>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</si>
  <si>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</si>
  <si>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</si>
  <si>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</si>
  <si>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</si>
  <si>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</si>
  <si>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</si>
  <si>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</si>
  <si>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</si>
  <si>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</si>
  <si>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</si>
  <si>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</si>
  <si>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</si>
  <si>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</si>
  <si>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</si>
  <si>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</si>
  <si>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</si>
  <si>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</si>
  <si>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</si>
  <si>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</si>
  <si>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</si>
  <si>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</si>
  <si>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</si>
  <si>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</si>
  <si>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</si>
  <si>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</si>
  <si>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</si>
  <si>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</si>
  <si>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</si>
  <si>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</si>
  <si>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</si>
  <si>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</si>
  <si>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</si>
  <si>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</si>
  <si>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</si>
  <si>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</si>
  <si>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</si>
  <si>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</si>
  <si>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</si>
  <si>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</si>
  <si>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</si>
  <si>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</si>
  <si>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</si>
  <si>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</si>
  <si>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</si>
  <si>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</si>
  <si>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</si>
  <si>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</si>
  <si>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</si>
  <si>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</si>
  <si>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</si>
  <si>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</si>
  <si>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</si>
  <si>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</si>
  <si>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</si>
  <si>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</si>
  <si>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</si>
  <si>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</si>
  <si>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</si>
  <si>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</si>
  <si>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</si>
  <si>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</si>
  <si>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</si>
  <si>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</si>
  <si>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</si>
  <si>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</si>
  <si>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</si>
  <si>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</si>
  <si>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</si>
  <si>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</si>
  <si>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</si>
  <si>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</si>
  <si>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</si>
  <si>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</si>
  <si>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</si>
  <si>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</si>
  <si>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</si>
  <si>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</si>
  <si>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</si>
  <si>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</si>
  <si>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</si>
  <si>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</si>
  <si>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</si>
  <si>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</si>
  <si>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</si>
  <si>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</si>
  <si>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</si>
  <si>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</si>
  <si>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</si>
  <si>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</si>
  <si>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</si>
  <si>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</si>
  <si>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</si>
  <si>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</si>
  <si>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</si>
  <si>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</si>
  <si>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</si>
  <si>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</si>
  <si>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</si>
  <si>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</si>
  <si>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</si>
  <si>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</si>
  <si>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</si>
  <si>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</si>
  <si>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</si>
  <si>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</si>
  <si>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</si>
  <si>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</si>
  <si>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</si>
  <si>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</si>
  <si>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</si>
  <si>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</si>
  <si>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</si>
  <si>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</si>
  <si>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</si>
  <si>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</si>
  <si>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</si>
  <si>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</si>
  <si>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</si>
  <si>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</si>
  <si>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</si>
  <si>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</si>
  <si>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</si>
  <si>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</si>
  <si>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</si>
  <si>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</si>
  <si>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</si>
  <si>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</si>
  <si>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</si>
  <si>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</si>
  <si>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</si>
  <si>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</si>
  <si>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</si>
  <si>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</si>
  <si>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</si>
  <si>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</si>
  <si>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</si>
  <si>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</si>
  <si>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</si>
  <si>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</si>
  <si>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</si>
  <si>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</si>
  <si>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</si>
  <si>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</si>
  <si>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</si>
  <si>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</si>
  <si>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</si>
  <si>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</si>
  <si>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</si>
  <si>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</si>
  <si>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</si>
  <si>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</si>
  <si>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</si>
  <si>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</si>
  <si>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</si>
  <si>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</si>
  <si>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</si>
  <si>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</si>
  <si>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</si>
  <si>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</si>
  <si>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</si>
  <si>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</si>
  <si>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</si>
  <si>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</si>
  <si>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</si>
  <si>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</si>
  <si>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</si>
  <si>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</si>
  <si>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</si>
  <si>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</si>
  <si>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</si>
  <si>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</si>
  <si>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</si>
  <si>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</si>
  <si>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</si>
  <si>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</si>
  <si>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</si>
  <si>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</si>
  <si>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</si>
  <si>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</si>
  <si>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</si>
  <si>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</si>
  <si>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</si>
  <si>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</si>
  <si>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</si>
  <si>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</si>
  <si>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</si>
  <si>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</si>
  <si>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</si>
  <si>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</si>
  <si>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</si>
  <si>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</si>
  <si>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</si>
  <si>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</si>
  <si>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</si>
  <si>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</si>
  <si>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</si>
  <si>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</si>
  <si>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</si>
  <si>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</si>
  <si>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</si>
  <si>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</si>
  <si>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</si>
  <si>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</si>
  <si>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</si>
  <si>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</si>
  <si>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</si>
  <si>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</si>
  <si>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</si>
  <si>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</si>
  <si>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</si>
  <si>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</si>
  <si>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</si>
  <si>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</si>
  <si>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</si>
  <si>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</si>
  <si>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</si>
  <si>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</si>
  <si>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</si>
  <si>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</si>
  <si>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</si>
  <si>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</si>
  <si>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</si>
  <si>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</si>
  <si>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</si>
  <si>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</si>
  <si>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</si>
  <si>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</si>
  <si>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</si>
  <si>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</si>
  <si>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</si>
  <si>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</si>
  <si>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</si>
  <si>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</si>
  <si>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</si>
  <si>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</si>
  <si>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</si>
  <si>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</si>
  <si>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</si>
  <si>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</si>
  <si>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</si>
  <si>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</si>
  <si>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</si>
  <si>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</si>
  <si>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</si>
  <si>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</si>
  <si>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</si>
  <si>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</si>
  <si>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</si>
  <si>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</si>
  <si>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</si>
  <si>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</si>
  <si>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</si>
  <si>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</si>
  <si>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</si>
  <si>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</si>
  <si>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</si>
  <si>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</si>
  <si>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</si>
  <si>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</si>
  <si>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</si>
  <si>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</si>
  <si>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</si>
  <si>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</si>
  <si>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</si>
  <si>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</si>
  <si>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</si>
  <si>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</si>
  <si>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</si>
  <si>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</si>
  <si>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</si>
  <si>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</si>
  <si>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</si>
  <si>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</si>
  <si>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</si>
  <si>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</si>
  <si>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</si>
  <si>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</si>
  <si>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</si>
  <si>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</si>
  <si>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</si>
  <si>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</si>
  <si>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</si>
  <si>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</si>
  <si>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</si>
  <si>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</si>
  <si>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</si>
  <si>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</si>
  <si>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</si>
  <si>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</si>
  <si>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</si>
  <si>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</si>
  <si>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</si>
  <si>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</si>
  <si>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</si>
  <si>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</si>
  <si>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</si>
  <si>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</si>
  <si>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</si>
  <si>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</si>
  <si>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</si>
  <si>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</si>
  <si>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</si>
  <si>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</si>
  <si>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</si>
  <si>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</si>
  <si>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</si>
  <si>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</si>
  <si>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</si>
  <si>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</si>
  <si>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</si>
  <si>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</si>
  <si>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</si>
  <si>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</si>
  <si>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</si>
  <si>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</si>
  <si>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</si>
  <si>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</si>
  <si>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</si>
  <si>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</si>
  <si>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</si>
  <si>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</si>
  <si>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</si>
  <si>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</si>
  <si>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</si>
  <si>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</si>
  <si>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</si>
  <si>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</si>
  <si>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</si>
  <si>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</si>
  <si>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</si>
  <si>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</si>
  <si>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</si>
  <si>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</si>
  <si>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</si>
  <si>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</si>
  <si>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</si>
  <si>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</si>
  <si>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</si>
  <si>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</si>
  <si>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</si>
  <si>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</si>
  <si>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</si>
  <si>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</si>
  <si>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</si>
  <si>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</si>
  <si>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</si>
  <si>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</si>
  <si>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</si>
  <si>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</si>
  <si>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</si>
  <si>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</si>
  <si>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</si>
  <si>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</si>
  <si>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</si>
  <si>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</si>
  <si>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</si>
  <si>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</si>
  <si>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</si>
  <si>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</si>
  <si>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</si>
  <si>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</si>
  <si>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</si>
  <si>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</si>
  <si>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</si>
  <si>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</si>
  <si>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</si>
  <si>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</si>
  <si>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</si>
  <si>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</si>
  <si>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</si>
  <si>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</si>
  <si>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</si>
  <si>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</si>
  <si>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</si>
  <si>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</si>
  <si>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</si>
  <si>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</si>
  <si>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</si>
  <si>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</si>
  <si>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</si>
  <si>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</si>
  <si>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</si>
  <si>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</si>
  <si>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</si>
  <si>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</si>
  <si>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</si>
  <si>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</si>
  <si>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</si>
  <si>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</si>
  <si>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</si>
  <si>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</si>
  <si>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</si>
  <si>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</si>
  <si>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</si>
  <si>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</si>
  <si>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</si>
  <si>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</si>
  <si>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</si>
  <si>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</si>
  <si>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</si>
  <si>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</si>
  <si>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</si>
  <si>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</si>
  <si>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</si>
  <si>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</si>
  <si>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</si>
  <si>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</si>
  <si>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</si>
  <si>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</si>
  <si>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</si>
  <si>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</si>
  <si>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</si>
  <si>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</si>
  <si>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</si>
  <si>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</si>
  <si>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</si>
  <si>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</si>
  <si>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</si>
  <si>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</si>
  <si>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</si>
  <si>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</si>
  <si>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</si>
  <si>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</si>
  <si>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</si>
  <si>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</si>
  <si>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</si>
  <si>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</si>
  <si>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</si>
  <si>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</si>
  <si>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</si>
  <si>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</si>
  <si>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</si>
  <si>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</si>
  <si>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</si>
  <si>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</si>
  <si>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</si>
  <si>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</si>
  <si>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</si>
  <si>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</si>
  <si>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</si>
  <si>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</si>
  <si>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</si>
  <si>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</si>
  <si>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</si>
  <si>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</si>
  <si>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</si>
  <si>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</si>
  <si>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</si>
  <si>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</si>
  <si>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</si>
  <si>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</si>
  <si>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</si>
  <si>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</si>
  <si>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</si>
  <si>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</si>
  <si>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</si>
  <si>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</si>
  <si>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</si>
  <si>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</si>
  <si>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</si>
  <si>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</si>
  <si>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</si>
  <si>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</si>
  <si>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</si>
  <si>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</si>
  <si>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</si>
  <si>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</si>
  <si>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</si>
  <si>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</si>
  <si>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</si>
  <si>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</si>
  <si>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</si>
  <si>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</si>
  <si>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</si>
  <si>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</si>
  <si>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</si>
  <si>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</si>
  <si>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</si>
  <si>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</si>
  <si>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</si>
  <si>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</si>
  <si>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</si>
  <si>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</si>
  <si>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</si>
  <si>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</si>
  <si>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</si>
  <si>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</si>
  <si>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</si>
  <si>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</si>
  <si>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</si>
  <si>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</si>
  <si>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</si>
  <si>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</si>
  <si>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</si>
  <si>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</si>
  <si>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</si>
  <si>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</si>
  <si>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</si>
  <si>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</si>
  <si>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</si>
  <si>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</si>
  <si>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</si>
  <si>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</si>
  <si>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</si>
  <si>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</si>
  <si>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</si>
  <si>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</si>
  <si>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</si>
  <si>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</si>
  <si>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</si>
  <si>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</si>
  <si>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</si>
  <si>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</si>
  <si>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</si>
  <si>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</si>
  <si>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</si>
  <si>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</si>
  <si>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</si>
  <si>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</si>
  <si>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</si>
  <si>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</si>
  <si>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</si>
  <si>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</si>
  <si>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</si>
  <si>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</si>
  <si>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</si>
  <si>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</si>
  <si>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</si>
  <si>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</si>
  <si>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</si>
  <si>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</si>
  <si>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</si>
  <si>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</si>
  <si>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</si>
  <si>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</si>
  <si>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</si>
  <si>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</si>
  <si>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</si>
  <si>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</si>
  <si>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</si>
  <si>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</si>
  <si>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</si>
  <si>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</si>
  <si>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</si>
  <si>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</si>
  <si>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</si>
  <si>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</si>
  <si>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</si>
  <si>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</si>
  <si>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</si>
  <si>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</si>
  <si>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</si>
  <si>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</si>
  <si>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</si>
  <si>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</si>
  <si>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</si>
  <si>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</si>
  <si>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</si>
  <si>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</si>
  <si>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</si>
  <si>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</si>
  <si>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</si>
  <si>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</si>
  <si>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</si>
  <si>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</si>
  <si>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</si>
  <si>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</si>
  <si>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</si>
  <si>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</si>
  <si>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</si>
  <si>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</si>
  <si>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</si>
  <si>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</si>
  <si>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</si>
  <si>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</si>
  <si>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</si>
  <si>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</si>
  <si>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</si>
  <si>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</si>
  <si>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</si>
  <si>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</si>
  <si>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</si>
  <si>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</si>
  <si>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</si>
  <si>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</si>
  <si>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</si>
  <si>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</si>
  <si>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</si>
  <si>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</si>
  <si>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</si>
  <si>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</si>
  <si>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</si>
  <si>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</si>
  <si>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</si>
  <si>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</si>
  <si>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</si>
  <si>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</si>
  <si>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</si>
  <si>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</si>
  <si>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</si>
  <si>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</si>
  <si>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</si>
  <si>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</si>
  <si>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</si>
  <si>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</si>
  <si>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</si>
  <si>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</si>
  <si>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</si>
  <si>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</si>
  <si>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</si>
  <si>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</si>
  <si>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</si>
  <si>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</si>
  <si>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</si>
  <si>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</si>
  <si>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</si>
  <si>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</si>
  <si>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</si>
  <si>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</si>
  <si>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</si>
  <si>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</si>
  <si>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</si>
  <si>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</si>
  <si>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</si>
  <si>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</si>
  <si>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</si>
  <si>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</si>
  <si>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</si>
  <si>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</si>
  <si>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</si>
  <si>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</si>
  <si>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</si>
  <si>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</si>
  <si>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</si>
  <si>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</si>
  <si>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</si>
  <si>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</si>
  <si>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</si>
  <si>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</si>
  <si>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</si>
  <si>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</si>
  <si>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</si>
  <si>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</si>
  <si>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</si>
  <si>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</si>
  <si>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</si>
  <si>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</si>
  <si>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</si>
  <si>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</si>
  <si>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</si>
  <si>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</si>
  <si>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</si>
  <si>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</si>
  <si>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</si>
  <si>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</si>
  <si>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</si>
  <si>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</si>
  <si>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</si>
  <si>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</si>
  <si>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</si>
  <si>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</si>
  <si>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</si>
  <si>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</si>
  <si>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</si>
  <si>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</si>
  <si>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</si>
  <si>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</si>
  <si>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</si>
  <si>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</si>
  <si>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</si>
  <si>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</si>
  <si>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</si>
  <si>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</si>
  <si>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</si>
  <si>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</si>
  <si>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</si>
  <si>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</si>
  <si>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</si>
  <si>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</si>
  <si>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</si>
  <si>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</si>
  <si>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</si>
  <si>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</si>
  <si>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</si>
  <si>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</si>
  <si>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</si>
  <si>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</si>
  <si>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</si>
  <si>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</si>
  <si>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</si>
  <si>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</si>
  <si>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</si>
  <si>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</si>
  <si>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</si>
  <si>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</si>
  <si>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</si>
  <si>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</si>
  <si>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</si>
  <si>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</si>
  <si>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</si>
  <si>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</si>
  <si>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</si>
  <si>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</si>
  <si>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</si>
  <si>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</si>
  <si>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</si>
  <si>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</si>
  <si>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</si>
  <si>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</si>
  <si>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</si>
  <si>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</si>
  <si>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</si>
  <si>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</si>
  <si>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</si>
  <si>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</si>
  <si>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</si>
  <si>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</si>
  <si>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</si>
  <si>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</si>
  <si>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</si>
  <si>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</si>
  <si>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</si>
  <si>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</si>
  <si>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</si>
  <si>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</si>
  <si>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</si>
  <si>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</si>
  <si>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</si>
  <si>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</si>
  <si>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</si>
  <si>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</si>
  <si>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</si>
  <si>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</si>
  <si>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</si>
  <si>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</si>
  <si>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</si>
  <si>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</si>
  <si>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</si>
  <si>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</si>
  <si>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</si>
  <si>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</si>
  <si>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</si>
  <si>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</si>
  <si>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</si>
  <si>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</si>
  <si>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</si>
  <si>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</si>
  <si>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</si>
  <si>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</si>
  <si>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</si>
  <si>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</si>
  <si>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</si>
  <si>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</si>
  <si>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</si>
  <si>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</si>
  <si>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</si>
  <si>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</si>
  <si>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</si>
  <si>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</si>
  <si>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</si>
  <si>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</si>
  <si>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</si>
  <si>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</si>
  <si>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</si>
  <si>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</si>
  <si>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</si>
  <si>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</si>
  <si>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</si>
  <si>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</si>
  <si>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</si>
  <si>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</si>
  <si>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</si>
  <si>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</si>
  <si>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</si>
  <si>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</si>
  <si>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</si>
  <si>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</si>
  <si>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</si>
  <si>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</si>
  <si>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</si>
  <si>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</si>
  <si>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</si>
  <si>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</si>
  <si>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</si>
  <si>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</si>
  <si>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</si>
  <si>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</si>
  <si>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</si>
  <si>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</si>
  <si>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</si>
  <si>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</si>
  <si>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</si>
  <si>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</si>
  <si>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</si>
  <si>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</si>
  <si>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</si>
  <si>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</si>
  <si>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</si>
  <si>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</si>
  <si>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</si>
  <si>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</si>
  <si>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</si>
  <si>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</si>
  <si>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</si>
  <si>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</si>
  <si>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</si>
  <si>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</si>
  <si>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</si>
  <si>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</si>
  <si>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</si>
  <si>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</si>
  <si>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</si>
  <si>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</si>
  <si>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</si>
  <si>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</si>
  <si>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</si>
  <si>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</si>
  <si>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</si>
  <si>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</si>
  <si>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</si>
  <si>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</si>
  <si>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</si>
  <si>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</si>
  <si>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</si>
  <si>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</si>
  <si>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</si>
  <si>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</si>
  <si>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</si>
  <si>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</si>
  <si>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</si>
  <si>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</si>
  <si>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</si>
  <si>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</si>
  <si>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</si>
  <si>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</si>
  <si>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</si>
  <si>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</si>
  <si>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</si>
  <si>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</si>
  <si>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</si>
  <si>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</si>
  <si>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</si>
  <si>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</si>
  <si>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</si>
  <si>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</si>
  <si>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</si>
  <si>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</si>
  <si>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</si>
  <si>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</si>
  <si>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</si>
  <si>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</si>
  <si>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</si>
  <si>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</si>
  <si>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</si>
  <si>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</si>
  <si>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</si>
  <si>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</si>
  <si>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</si>
  <si>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</si>
  <si>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</si>
  <si>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</si>
  <si>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</si>
  <si>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</si>
  <si>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</si>
  <si>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</si>
  <si>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</si>
  <si>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</si>
  <si>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</si>
  <si>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</si>
  <si>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</si>
  <si>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</si>
  <si>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</si>
  <si>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</si>
  <si>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</si>
  <si>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</si>
  <si>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</si>
  <si>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</si>
  <si>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</si>
  <si>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</si>
  <si>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</si>
  <si>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</si>
  <si>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</si>
  <si>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</si>
  <si>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</si>
  <si>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</si>
  <si>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</si>
  <si>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</si>
  <si>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</si>
  <si>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</si>
  <si>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</si>
  <si>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</si>
  <si>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</si>
  <si>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</si>
  <si>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</si>
  <si>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</si>
  <si>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</si>
  <si>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</si>
  <si>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</si>
  <si>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</si>
  <si>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</si>
  <si>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</si>
  <si>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</si>
  <si>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</si>
  <si>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</si>
  <si>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</si>
  <si>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</si>
  <si>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</si>
  <si>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</si>
  <si>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</si>
  <si>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</si>
  <si>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</si>
  <si>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</si>
  <si>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</si>
  <si>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</si>
  <si>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</si>
  <si>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</si>
  <si>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</si>
  <si>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</si>
  <si>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</si>
  <si>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</si>
  <si>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</si>
  <si>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</si>
  <si>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</si>
  <si>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</si>
  <si>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</si>
  <si>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</si>
  <si>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</si>
  <si>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</si>
  <si>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</si>
  <si>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</si>
  <si>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</si>
  <si>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</si>
  <si>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</si>
  <si>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</si>
  <si>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</si>
  <si>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</si>
  <si>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</si>
  <si>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</si>
  <si>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</si>
  <si>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</si>
  <si>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</si>
  <si>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</si>
  <si>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</si>
  <si>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</si>
  <si>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</si>
  <si>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</si>
  <si>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</si>
  <si>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</si>
  <si>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</si>
  <si>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</si>
  <si>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</si>
  <si>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</si>
  <si>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</si>
  <si>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</si>
  <si>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</si>
  <si>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</si>
  <si>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</si>
  <si>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</si>
  <si>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</si>
  <si>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</si>
  <si>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</si>
  <si>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</si>
  <si>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</si>
  <si>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</si>
  <si>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</si>
  <si>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</si>
  <si>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</si>
  <si>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</si>
  <si>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</si>
  <si>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</si>
  <si>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</si>
  <si>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</si>
  <si>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</si>
  <si>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</si>
  <si>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</si>
  <si>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</si>
  <si>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</si>
  <si>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</si>
  <si>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</si>
  <si>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</si>
  <si>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</si>
  <si>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</si>
  <si>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</si>
  <si>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</si>
  <si>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</si>
  <si>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</si>
  <si>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</si>
  <si>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</si>
  <si>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</si>
  <si>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</si>
  <si>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</si>
  <si>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</si>
  <si>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</si>
  <si>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</si>
  <si>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</si>
  <si>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</si>
  <si>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</si>
  <si>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</si>
  <si>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</si>
  <si>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</si>
  <si>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</si>
  <si>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</si>
  <si>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</si>
  <si>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</si>
  <si>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</si>
  <si>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</si>
  <si>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</si>
  <si>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</si>
  <si>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</si>
  <si>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</si>
  <si>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</si>
  <si>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</si>
  <si>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</si>
  <si>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</si>
  <si>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</si>
  <si>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</si>
  <si>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</si>
  <si>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</si>
  <si>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</si>
  <si>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</si>
  <si>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</si>
  <si>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</si>
  <si>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</si>
  <si>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</si>
  <si>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</si>
  <si>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</si>
  <si>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</si>
  <si>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</si>
  <si>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</si>
  <si>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</si>
  <si>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</si>
  <si>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</si>
  <si>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</si>
  <si>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</si>
  <si>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</si>
  <si>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</si>
  <si>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</si>
  <si>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</si>
  <si>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</si>
  <si>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</si>
  <si>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</si>
  <si>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</si>
  <si>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</si>
  <si>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</si>
  <si>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</si>
  <si>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</si>
  <si>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</si>
  <si>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</si>
  <si>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</si>
  <si>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</si>
  <si>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</si>
  <si>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</si>
  <si>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</si>
  <si>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</si>
  <si>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</si>
  <si>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</si>
  <si>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</si>
  <si>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</si>
  <si>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</si>
  <si>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</si>
  <si>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</si>
  <si>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</si>
  <si>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</si>
  <si>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</si>
  <si>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</si>
  <si>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</si>
  <si>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</si>
  <si>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</si>
  <si>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</si>
  <si>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</si>
  <si>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</si>
  <si>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</si>
  <si>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</si>
  <si>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</si>
  <si>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</si>
  <si>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</si>
  <si>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</si>
  <si>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</si>
  <si>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</si>
  <si>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</si>
  <si>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</si>
  <si>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</si>
  <si>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</si>
  <si>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</si>
  <si>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</si>
  <si>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</si>
  <si>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</si>
  <si>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</si>
  <si>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</si>
  <si>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</si>
  <si>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</si>
  <si>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</si>
  <si>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</si>
  <si>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</si>
  <si>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</si>
  <si>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</si>
  <si>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</si>
  <si>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</si>
  <si>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</si>
  <si>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</si>
  <si>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</si>
  <si>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</si>
  <si>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</si>
  <si>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</si>
  <si>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</si>
  <si>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</si>
  <si>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</si>
  <si>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</si>
  <si>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</si>
  <si>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</si>
  <si>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</si>
  <si>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</si>
  <si>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</si>
  <si>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</si>
  <si>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</si>
  <si>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</si>
  <si>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</si>
  <si>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</si>
  <si>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</si>
  <si>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</si>
  <si>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</si>
  <si>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</si>
  <si>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</si>
  <si>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</si>
  <si>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</si>
  <si>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</si>
  <si>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</si>
  <si>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</si>
  <si>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</si>
  <si>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</si>
  <si>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</si>
  <si>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</si>
  <si>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</si>
  <si>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</si>
  <si>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</si>
  <si>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</si>
  <si>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</si>
  <si>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</si>
  <si>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</si>
  <si>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</si>
  <si>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</si>
  <si>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</si>
  <si>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</si>
  <si>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</si>
  <si>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</si>
  <si>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</si>
  <si>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</si>
  <si>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</si>
  <si>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</si>
  <si>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</si>
  <si>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</si>
  <si>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</si>
  <si>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</si>
  <si>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</si>
  <si>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</si>
  <si>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</si>
  <si>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</si>
  <si>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</si>
  <si>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</si>
  <si>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</si>
  <si>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</si>
  <si>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</si>
  <si>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</si>
  <si>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</si>
  <si>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</si>
  <si>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</si>
  <si>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</si>
  <si>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</si>
  <si>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</si>
  <si>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</si>
  <si>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</si>
  <si>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</si>
  <si>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</si>
  <si>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</si>
  <si>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</si>
  <si>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</si>
  <si>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</si>
  <si>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</si>
  <si>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</si>
  <si>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</si>
  <si>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</si>
  <si>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</si>
  <si>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</si>
  <si>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</si>
  <si>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</si>
  <si>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</si>
  <si>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</si>
  <si>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</si>
  <si>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</si>
  <si>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</si>
  <si>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</si>
  <si>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</si>
  <si>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</si>
  <si>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</si>
  <si>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</si>
  <si>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</si>
  <si>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</si>
  <si>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</si>
  <si>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</si>
  <si>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</si>
  <si>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</si>
  <si>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</si>
  <si>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</si>
  <si>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</si>
  <si>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</si>
  <si>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</si>
  <si>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</si>
  <si>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</si>
  <si>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</si>
  <si>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</si>
  <si>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</si>
  <si>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</si>
  <si>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</si>
  <si>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</si>
  <si>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</si>
  <si>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</si>
  <si>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</si>
  <si>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</si>
  <si>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</si>
  <si>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</si>
  <si>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</si>
  <si>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</si>
  <si>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</si>
  <si>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</si>
  <si>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</si>
  <si>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</si>
  <si>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</si>
  <si>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</si>
  <si>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</si>
  <si>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</si>
  <si>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</si>
  <si>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</si>
  <si>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</si>
  <si>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</si>
  <si>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</si>
  <si>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</si>
  <si>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</si>
  <si>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</si>
  <si>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</si>
  <si>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</si>
  <si>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</si>
  <si>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</si>
  <si>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</si>
  <si>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</si>
  <si>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</si>
  <si>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</si>
  <si>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</si>
  <si>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</si>
  <si>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</si>
  <si>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</si>
  <si>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</si>
  <si>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</si>
  <si>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</si>
  <si>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</si>
  <si>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</si>
  <si>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</si>
  <si>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</si>
  <si>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</si>
  <si>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</si>
  <si>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</si>
  <si>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</si>
  <si>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</si>
  <si>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</si>
  <si>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</si>
  <si>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</si>
  <si>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</si>
  <si>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</si>
  <si>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</si>
  <si>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</si>
  <si>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</si>
  <si>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</si>
  <si>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</si>
  <si>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</si>
  <si>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</si>
  <si>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</si>
  <si>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</si>
  <si>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</si>
  <si>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</si>
  <si>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</si>
  <si>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</si>
  <si>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</si>
  <si>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</si>
  <si>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</si>
  <si>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</si>
  <si>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</si>
  <si>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</si>
  <si>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</si>
  <si>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</si>
  <si>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</si>
  <si>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</si>
  <si>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</si>
  <si>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</si>
  <si>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</si>
  <si>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</si>
  <si>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</si>
  <si>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</si>
  <si>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</si>
  <si>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</si>
  <si>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</si>
  <si>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</si>
  <si>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</si>
  <si>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</si>
  <si>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</si>
  <si>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</si>
  <si>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</si>
  <si>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</si>
  <si>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</si>
  <si>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</si>
  <si>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</si>
  <si>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</si>
  <si>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</si>
  <si>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</si>
  <si>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</si>
  <si>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</si>
  <si>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</si>
  <si>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</si>
  <si>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</si>
  <si>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</si>
  <si>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</si>
  <si>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</si>
  <si>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</si>
  <si>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</si>
  <si>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</si>
  <si>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</si>
  <si>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</si>
  <si>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</si>
  <si>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</si>
  <si>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</si>
  <si>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</si>
  <si>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</si>
  <si>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</si>
  <si>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</si>
  <si>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</si>
  <si>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</si>
  <si>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</si>
  <si>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</si>
  <si>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</si>
  <si>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</si>
  <si>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</si>
  <si>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</si>
  <si>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</si>
  <si>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</si>
  <si>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</si>
  <si>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</si>
  <si>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</si>
  <si>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</si>
  <si>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</si>
  <si>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</si>
  <si>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</si>
  <si>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</si>
  <si>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</si>
  <si>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</si>
  <si>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</si>
  <si>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</si>
  <si>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</si>
  <si>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</si>
  <si>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</si>
  <si>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</si>
  <si>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</si>
  <si>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</si>
  <si>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</si>
  <si>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</si>
  <si>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</si>
  <si>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</si>
  <si>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</si>
  <si>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</si>
  <si>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</si>
  <si>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</si>
  <si>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</si>
  <si>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</si>
  <si>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</si>
  <si>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</si>
  <si>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</si>
  <si>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</si>
  <si>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</si>
  <si>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</si>
  <si>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</si>
  <si>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</si>
  <si>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</si>
  <si>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</si>
  <si>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</si>
  <si>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</si>
  <si>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</si>
  <si>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</si>
  <si>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</si>
  <si>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</si>
  <si>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</si>
  <si>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</si>
  <si>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</si>
  <si>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</si>
  <si>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</si>
  <si>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</si>
  <si>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</si>
  <si>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</si>
  <si>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</si>
  <si>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</si>
  <si>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</si>
  <si>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</si>
  <si>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</si>
  <si>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</si>
  <si>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</si>
  <si>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</si>
  <si>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</si>
  <si>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</si>
  <si>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</si>
  <si>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</si>
  <si>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</si>
  <si>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</si>
  <si>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</si>
  <si>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</si>
  <si>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</si>
  <si>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</si>
  <si>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</si>
  <si>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</si>
  <si>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</si>
  <si>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</si>
  <si>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</si>
  <si>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</si>
  <si>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</si>
  <si>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</si>
  <si>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</si>
  <si>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</si>
  <si>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</si>
  <si>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</si>
  <si>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</si>
  <si>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</si>
  <si>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</si>
  <si>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</si>
  <si>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</si>
  <si>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</si>
  <si>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</si>
  <si>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</si>
  <si>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</si>
  <si>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</si>
  <si>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</si>
  <si>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</si>
  <si>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</si>
  <si>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</si>
  <si>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</si>
  <si>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</si>
  <si>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</si>
  <si>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</si>
  <si>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</si>
  <si>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</si>
  <si>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</si>
  <si>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</si>
  <si>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</si>
  <si>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</si>
  <si>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</si>
  <si>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</si>
  <si>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</si>
  <si>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</si>
  <si>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</si>
  <si>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</si>
  <si>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</si>
  <si>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</si>
  <si>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</si>
  <si>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</si>
  <si>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</si>
  <si>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</si>
  <si>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</si>
  <si>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</si>
  <si>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</si>
  <si>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</si>
  <si>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</si>
  <si>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</si>
  <si>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</si>
  <si>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</si>
  <si>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</si>
  <si>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</si>
  <si>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</si>
  <si>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</si>
  <si>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</si>
  <si>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</si>
  <si>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</si>
  <si>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</si>
  <si>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</si>
  <si>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</si>
  <si>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</si>
  <si>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</si>
  <si>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</si>
  <si>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</si>
  <si>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</si>
  <si>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</si>
  <si>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</si>
  <si>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</si>
  <si>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</si>
  <si>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</si>
  <si>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</si>
  <si>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</si>
  <si>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</si>
  <si>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</si>
  <si>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</si>
  <si>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</si>
  <si>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</si>
  <si>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</si>
  <si>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</si>
  <si>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</si>
  <si>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</si>
  <si>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</si>
  <si>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</si>
  <si>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</si>
  <si>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</si>
  <si>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</si>
  <si>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</si>
  <si>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</si>
  <si>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</si>
  <si>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</si>
  <si>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</si>
  <si>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</si>
  <si>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</si>
  <si>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</si>
  <si>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</si>
  <si>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</si>
  <si>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</si>
  <si>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</si>
  <si>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</si>
  <si>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</si>
  <si>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</si>
  <si>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</si>
  <si>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</si>
  <si>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</si>
  <si>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</si>
  <si>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</si>
  <si>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</si>
  <si>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</si>
  <si>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</si>
  <si>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</si>
  <si>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</si>
  <si>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</si>
  <si>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</si>
  <si>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</si>
  <si>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</si>
  <si>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</si>
  <si>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</si>
  <si>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</si>
  <si>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</si>
  <si>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</si>
  <si>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</si>
  <si>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</si>
  <si>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</si>
  <si>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</si>
  <si>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</si>
  <si>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</si>
  <si>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</si>
  <si>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</si>
  <si>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</si>
  <si>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</si>
  <si>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</si>
  <si>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</si>
  <si>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</si>
  <si>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</si>
  <si>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</si>
  <si>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</si>
  <si>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</si>
  <si>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</si>
  <si>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</si>
  <si>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</si>
  <si>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</si>
  <si>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</si>
  <si>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</si>
  <si>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</si>
  <si>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</si>
  <si>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</si>
  <si>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</si>
  <si>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</si>
  <si>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</si>
  <si>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</si>
  <si>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</si>
  <si>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</si>
  <si>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</si>
  <si>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</si>
  <si>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</si>
  <si>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</si>
  <si>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</si>
  <si>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</si>
  <si>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</si>
  <si>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</si>
  <si>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</si>
  <si>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</si>
  <si>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</si>
  <si>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</si>
  <si>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</si>
  <si>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</si>
  <si>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</si>
  <si>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</si>
  <si>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</si>
  <si>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</si>
  <si>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</si>
  <si>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</si>
  <si>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</si>
  <si>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</si>
  <si>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</si>
  <si>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</si>
  <si>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</si>
  <si>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</si>
  <si>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</si>
  <si>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</si>
  <si>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</si>
  <si>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</si>
  <si>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</si>
  <si>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</si>
  <si>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</si>
  <si>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</si>
  <si>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</si>
  <si>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</si>
  <si>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</si>
  <si>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</si>
  <si>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</si>
  <si>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</si>
  <si>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</si>
  <si>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</si>
  <si>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</si>
  <si>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</si>
  <si>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</si>
  <si>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</si>
  <si>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</si>
  <si>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</si>
  <si>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</si>
  <si>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</si>
  <si>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</si>
  <si>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</si>
  <si>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</si>
  <si>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</si>
  <si>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</si>
  <si>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</si>
  <si>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</si>
  <si>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</si>
  <si>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</si>
  <si>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</si>
  <si>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</si>
  <si>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</si>
  <si>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</si>
  <si>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</si>
  <si>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</si>
  <si>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</si>
  <si>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</si>
  <si>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</si>
  <si>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</si>
  <si>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</si>
  <si>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</si>
  <si>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</si>
  <si>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</si>
  <si>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</si>
  <si>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</si>
  <si>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</si>
  <si>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</si>
  <si>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</si>
  <si>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</si>
  <si>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</si>
  <si>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</si>
  <si>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</si>
  <si>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</si>
  <si>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</si>
  <si>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</si>
  <si>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</si>
  <si>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</si>
  <si>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</si>
  <si>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</si>
  <si>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</si>
  <si>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</si>
  <si>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</si>
  <si>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</si>
  <si>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</si>
  <si>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</si>
  <si>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</si>
  <si>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</si>
  <si>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</si>
  <si>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</si>
  <si>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</si>
  <si>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</si>
  <si>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</si>
  <si>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</si>
  <si>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</si>
  <si>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</si>
  <si>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</si>
  <si>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</si>
  <si>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</si>
  <si>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</si>
  <si>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</si>
  <si>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</si>
  <si>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</si>
  <si>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</si>
  <si>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</si>
  <si>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</si>
  <si>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</si>
  <si>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</si>
  <si>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</si>
  <si>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</si>
  <si>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</si>
  <si>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</si>
  <si>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</si>
  <si>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</si>
  <si>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</si>
  <si>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</si>
  <si>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</si>
  <si>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</si>
  <si>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</si>
  <si>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</si>
  <si>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</si>
  <si>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</si>
  <si>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</si>
  <si>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</si>
  <si>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</si>
  <si>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</si>
  <si>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</si>
  <si>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</si>
  <si>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</si>
  <si>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</si>
  <si>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</si>
  <si>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</si>
  <si>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</si>
  <si>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</si>
  <si>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</si>
  <si>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</si>
  <si>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</si>
  <si>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</si>
  <si>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</si>
  <si>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</si>
  <si>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</si>
  <si>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</si>
  <si>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</si>
  <si>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</si>
  <si>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</si>
  <si>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</si>
  <si>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</si>
  <si>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</si>
  <si>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</si>
  <si>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</si>
  <si>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</si>
  <si>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</si>
  <si>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</si>
  <si>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</si>
  <si>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</si>
  <si>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</si>
  <si>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</si>
  <si>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</si>
  <si>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</si>
  <si>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</si>
  <si>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</si>
  <si>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</si>
  <si>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</si>
  <si>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</si>
  <si>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</si>
  <si>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</si>
  <si>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</si>
  <si>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</si>
  <si>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</si>
  <si>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</si>
  <si>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</si>
  <si>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</si>
  <si>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</si>
  <si>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</si>
  <si>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</si>
  <si>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</si>
  <si>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</si>
  <si>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</si>
  <si>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</si>
  <si>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</si>
  <si>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</si>
  <si>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</si>
  <si>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</si>
  <si>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</si>
  <si>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</si>
  <si>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</si>
  <si>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</si>
  <si>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</si>
  <si>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</si>
  <si>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</si>
  <si>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</si>
  <si>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</si>
  <si>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</si>
  <si>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</si>
  <si>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</si>
  <si>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</si>
  <si>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</si>
  <si>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</si>
  <si>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</si>
  <si>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</si>
  <si>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</si>
  <si>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</si>
  <si>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</si>
  <si>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</si>
  <si>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</si>
  <si>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</si>
  <si>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</si>
  <si>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</si>
  <si>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</si>
  <si>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</si>
  <si>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</si>
  <si>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</si>
  <si>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</si>
  <si>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</si>
  <si>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</si>
  <si>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</si>
  <si>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</si>
  <si>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</si>
  <si>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</si>
  <si>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</si>
  <si>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</si>
  <si>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</si>
  <si>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</si>
  <si>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</si>
  <si>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</si>
  <si>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</si>
  <si>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</si>
  <si>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</si>
  <si>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</si>
  <si>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</si>
  <si>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</si>
  <si>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</si>
  <si>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</si>
  <si>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</si>
  <si>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</si>
  <si>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</si>
  <si>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</si>
  <si>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</si>
  <si>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</si>
  <si>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</si>
  <si>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</si>
  <si>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</si>
  <si>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</si>
  <si>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</si>
  <si>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</si>
  <si>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</si>
  <si>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</si>
  <si>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</si>
  <si>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</si>
  <si>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</si>
  <si>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</si>
  <si>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</si>
  <si>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</si>
  <si>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</si>
  <si>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</si>
  <si>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</si>
  <si>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</si>
  <si>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</si>
  <si>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</si>
  <si>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</si>
  <si>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</si>
  <si>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</si>
  <si>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</si>
  <si>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</si>
  <si>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</si>
  <si>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</si>
  <si>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</si>
  <si>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</si>
  <si>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</si>
  <si>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</si>
  <si>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</si>
  <si>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</si>
  <si>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</si>
  <si>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</si>
  <si>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</si>
  <si>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</si>
  <si>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</si>
  <si>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</si>
  <si>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</si>
  <si>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</si>
  <si>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</si>
  <si>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</si>
  <si>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</si>
  <si>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</si>
  <si>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</si>
  <si>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</si>
  <si>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</si>
  <si>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</si>
  <si>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</si>
  <si>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</si>
  <si>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</si>
  <si>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</si>
  <si>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</si>
  <si>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</si>
  <si>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</si>
  <si>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</si>
  <si>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</si>
  <si>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</si>
  <si>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</si>
  <si>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</si>
  <si>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</si>
  <si>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</si>
  <si>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</si>
  <si>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</si>
  <si>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</si>
  <si>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</si>
  <si>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</si>
  <si>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</si>
  <si>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</si>
  <si>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</si>
  <si>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</si>
  <si>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</si>
  <si>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</si>
  <si>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</si>
  <si>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</si>
  <si>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</si>
  <si>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</si>
  <si>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</si>
  <si>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</si>
  <si>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</si>
  <si>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</si>
  <si>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</si>
  <si>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</si>
  <si>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</si>
  <si>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</si>
  <si>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</si>
  <si>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</si>
  <si>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</si>
  <si>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</si>
  <si>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</si>
  <si>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</si>
  <si>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</si>
  <si>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</si>
  <si>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</si>
  <si>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</si>
  <si>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</si>
  <si>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</si>
  <si>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</si>
  <si>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</si>
  <si>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</si>
  <si>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</si>
  <si>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</si>
  <si>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</si>
  <si>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</si>
  <si>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</si>
  <si>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</si>
  <si>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</si>
  <si>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</si>
  <si>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</si>
  <si>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</si>
  <si>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</si>
  <si>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</si>
  <si>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</si>
  <si>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</si>
  <si>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</si>
  <si>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</si>
  <si>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</si>
  <si>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</si>
  <si>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</si>
  <si>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</si>
  <si>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</si>
  <si>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</si>
  <si>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</si>
  <si>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</si>
  <si>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</si>
  <si>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</si>
  <si>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</si>
  <si>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</si>
  <si>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</si>
  <si>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</si>
  <si>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</si>
  <si>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</si>
  <si>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</si>
  <si>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</si>
  <si>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</si>
  <si>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</si>
  <si>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</si>
  <si>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</si>
  <si>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</si>
  <si>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</si>
  <si>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</si>
  <si>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</si>
  <si>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</si>
  <si>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</si>
  <si>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</si>
  <si>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</si>
  <si>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</si>
  <si>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</si>
  <si>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</si>
  <si>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</si>
  <si>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</si>
  <si>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</si>
  <si>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</si>
  <si>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</si>
  <si>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</si>
  <si>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</si>
  <si>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</si>
  <si>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</si>
  <si>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</si>
  <si>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</si>
  <si>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</si>
  <si>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</si>
  <si>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</si>
  <si>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</si>
  <si>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</si>
  <si>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</si>
  <si>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</si>
  <si>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</si>
  <si>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</si>
  <si>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</si>
  <si>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</si>
  <si>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</si>
  <si>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</si>
  <si>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</si>
  <si>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</si>
  <si>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</si>
  <si>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</si>
  <si>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</si>
  <si>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</si>
  <si>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</si>
  <si>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</si>
  <si>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</si>
  <si>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</si>
  <si>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</si>
  <si>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</si>
  <si>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</si>
  <si>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</si>
  <si>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</si>
  <si>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</si>
  <si>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</si>
  <si>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</si>
  <si>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</si>
  <si>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</si>
  <si>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</si>
  <si>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</si>
  <si>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</si>
  <si>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</si>
  <si>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</si>
  <si>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</si>
  <si>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</si>
  <si>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</si>
  <si>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</si>
  <si>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</si>
  <si>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</si>
  <si>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</si>
  <si>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</si>
  <si>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</si>
  <si>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</si>
  <si>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</si>
  <si>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</si>
  <si>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</si>
  <si>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</si>
  <si>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</si>
  <si>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</si>
  <si>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</si>
  <si>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</si>
  <si>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</si>
  <si>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</si>
  <si>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</si>
  <si>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</si>
  <si>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</si>
  <si>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</si>
  <si>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</si>
  <si>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</si>
  <si>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</si>
  <si>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</si>
  <si>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</si>
  <si>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</si>
  <si>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</si>
  <si>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</si>
  <si>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</si>
  <si>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</si>
  <si>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</si>
  <si>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</si>
  <si>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</si>
  <si>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</si>
  <si>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</si>
  <si>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</si>
  <si>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</si>
  <si>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</si>
  <si>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</si>
  <si>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</si>
  <si>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</si>
  <si>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</si>
  <si>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</si>
  <si>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</si>
  <si>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</si>
  <si>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</si>
  <si>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</si>
  <si>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</si>
  <si>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</si>
  <si>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</si>
  <si>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</si>
  <si>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</si>
  <si>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</si>
  <si>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</si>
  <si>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</si>
  <si>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</si>
  <si>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</si>
  <si>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</si>
  <si>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</si>
  <si>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</si>
  <si>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</si>
  <si>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</si>
  <si>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</si>
  <si>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</si>
  <si>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</si>
  <si>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</si>
  <si>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</si>
  <si>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</si>
  <si>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</si>
  <si>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</si>
  <si>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</si>
  <si>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</si>
  <si>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</si>
  <si>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</si>
  <si>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</si>
  <si>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</si>
  <si>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</si>
  <si>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</si>
  <si>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</si>
  <si>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</si>
  <si>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</si>
  <si>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</si>
  <si>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</si>
  <si>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</si>
  <si>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</si>
  <si>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</si>
  <si>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</si>
  <si>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</si>
  <si>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</si>
  <si>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</si>
  <si>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</si>
  <si>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</si>
  <si>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</si>
  <si>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</si>
  <si>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</si>
  <si>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</si>
  <si>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</si>
  <si>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</si>
  <si>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</si>
  <si>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</si>
  <si>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</si>
  <si>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</si>
  <si>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</si>
  <si>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</si>
  <si>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</si>
  <si>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</si>
  <si>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</si>
  <si>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</si>
  <si>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</si>
  <si>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</si>
  <si>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</si>
  <si>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</si>
  <si>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</si>
  <si>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</si>
  <si>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</si>
  <si>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</si>
  <si>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</si>
  <si>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</si>
  <si>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</si>
  <si>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</si>
  <si>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</si>
  <si>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</si>
  <si>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</si>
  <si>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</si>
  <si>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</si>
  <si>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</si>
  <si>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</si>
  <si>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</si>
  <si>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</si>
  <si>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</si>
  <si>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</si>
  <si>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</si>
  <si>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</si>
  <si>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</si>
  <si>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</si>
  <si>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</si>
  <si>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</si>
  <si>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</si>
  <si>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</si>
  <si>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</si>
  <si>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</si>
  <si>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</si>
  <si>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</si>
  <si>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</si>
  <si>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</si>
  <si>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</si>
  <si>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</si>
  <si>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</si>
  <si>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</si>
  <si>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</si>
  <si>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</si>
  <si>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</si>
  <si>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</si>
  <si>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</si>
  <si>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</si>
  <si>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</si>
  <si>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</si>
  <si>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</si>
  <si>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</si>
  <si>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</si>
  <si>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</si>
  <si>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</si>
  <si>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</si>
  <si>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</si>
  <si>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</si>
  <si>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</si>
  <si>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</si>
  <si>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</si>
  <si>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</si>
  <si>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</si>
  <si>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</si>
  <si>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</si>
  <si>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</si>
  <si>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</si>
  <si>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</si>
  <si>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</si>
  <si>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</si>
  <si>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</si>
  <si>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</si>
  <si>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</si>
  <si>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</si>
  <si>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</si>
  <si>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</si>
  <si>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</si>
  <si>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</si>
  <si>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</si>
  <si>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</si>
  <si>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</si>
  <si>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</si>
  <si>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</si>
  <si>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</si>
  <si>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</si>
  <si>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</si>
  <si>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</si>
  <si>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</si>
  <si>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</si>
  <si>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</si>
  <si>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</si>
  <si>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</si>
  <si>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</si>
  <si>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</si>
  <si>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</si>
  <si>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</si>
  <si>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</si>
  <si>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</si>
  <si>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</si>
  <si>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</si>
  <si>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</si>
  <si>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</si>
  <si>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</si>
  <si>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</si>
  <si>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</si>
  <si>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</si>
  <si>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</si>
  <si>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</si>
  <si>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</si>
  <si>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</si>
  <si>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</si>
  <si>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</si>
  <si>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</si>
  <si>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</si>
  <si>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</si>
  <si>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</si>
  <si>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</si>
  <si>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</si>
  <si>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</si>
  <si>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</si>
  <si>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</si>
  <si>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</si>
  <si>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</si>
  <si>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</si>
  <si>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</si>
  <si>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</si>
  <si>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</si>
  <si>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</si>
  <si>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</si>
  <si>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</si>
  <si>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</si>
  <si>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</si>
  <si>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</si>
  <si>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</si>
  <si>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</si>
  <si>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</si>
  <si>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</si>
  <si>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</si>
  <si>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</si>
  <si>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</si>
  <si>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</si>
  <si>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</si>
  <si>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</si>
  <si>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</si>
  <si>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</si>
  <si>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</si>
  <si>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</si>
  <si>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</si>
  <si>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</si>
  <si>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</si>
  <si>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</si>
  <si>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</si>
  <si>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</si>
  <si>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</si>
  <si>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</si>
  <si>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</si>
  <si>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</si>
  <si>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</si>
  <si>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</si>
  <si>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</si>
  <si>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</si>
  <si>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</si>
  <si>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</si>
  <si>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</si>
  <si>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</si>
  <si>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</si>
  <si>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</si>
  <si>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</si>
  <si>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</si>
  <si>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</si>
  <si>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</si>
  <si>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</si>
  <si>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</si>
  <si>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</si>
  <si>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</si>
  <si>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</si>
  <si>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</si>
  <si>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</si>
  <si>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</si>
  <si>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</si>
  <si>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</si>
  <si>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</si>
  <si>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</si>
  <si>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</si>
  <si>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</si>
  <si>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</si>
  <si>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</si>
  <si>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</si>
  <si>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</si>
  <si>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</si>
  <si>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</si>
  <si>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</si>
  <si>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</si>
  <si>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</si>
  <si>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</si>
  <si>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</si>
  <si>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</si>
  <si>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</si>
  <si>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</si>
  <si>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</si>
  <si>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</si>
  <si>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</si>
  <si>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</si>
  <si>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</si>
  <si>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</si>
  <si>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</si>
  <si>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</si>
  <si>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</si>
  <si>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</si>
  <si>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</si>
  <si>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</si>
  <si>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</si>
  <si>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</si>
  <si>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</si>
  <si>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</si>
  <si>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</si>
  <si>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</si>
  <si>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</si>
  <si>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</si>
  <si>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</si>
  <si>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</si>
  <si>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</si>
  <si>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</si>
  <si>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</si>
  <si>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</si>
  <si>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</si>
  <si>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</si>
  <si>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</si>
  <si>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</si>
  <si>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</si>
  <si>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</si>
  <si>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</si>
  <si>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</si>
  <si>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</si>
  <si>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</si>
  <si>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</si>
  <si>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</si>
  <si>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</si>
  <si>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</si>
  <si>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</si>
  <si>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</si>
  <si>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</si>
  <si>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</si>
  <si>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</si>
  <si>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</si>
  <si>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</si>
  <si>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</si>
  <si>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</si>
  <si>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</si>
  <si>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</si>
  <si>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</si>
  <si>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</si>
  <si>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</si>
  <si>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</si>
  <si>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</si>
  <si>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</si>
  <si>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</si>
  <si>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</si>
  <si>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</si>
  <si>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</si>
  <si>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</si>
  <si>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</si>
  <si>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</si>
  <si>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</si>
  <si>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</si>
  <si>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</si>
  <si>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</si>
  <si>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</si>
  <si>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</si>
  <si>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</si>
  <si>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</si>
  <si>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</si>
  <si>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</si>
  <si>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</si>
  <si>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</si>
  <si>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</si>
  <si>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</si>
  <si>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</si>
  <si>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</si>
  <si>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</si>
  <si>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</si>
  <si>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</si>
  <si>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</si>
  <si>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</si>
  <si>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</si>
  <si>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</si>
  <si>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</si>
  <si>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</si>
  <si>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</si>
  <si>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</si>
  <si>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</si>
  <si>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</si>
  <si>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</si>
  <si>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</si>
  <si>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</si>
  <si>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</si>
  <si>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</si>
  <si>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</si>
  <si>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</si>
  <si>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</si>
  <si>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</si>
  <si>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</si>
  <si>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</si>
  <si>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</si>
  <si>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</si>
  <si>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</si>
  <si>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</si>
  <si>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</si>
  <si>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</si>
  <si>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</si>
  <si>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</si>
  <si>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</si>
  <si>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</si>
  <si>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</si>
  <si>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</si>
  <si>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</si>
  <si>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</si>
  <si>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</si>
  <si>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</si>
  <si>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</si>
  <si>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</si>
  <si>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</si>
  <si>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</si>
  <si>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</si>
  <si>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</si>
  <si>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</si>
  <si>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</si>
  <si>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</si>
  <si>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</si>
  <si>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</si>
  <si>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</si>
  <si>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</si>
  <si>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</si>
  <si>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</si>
  <si>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</si>
  <si>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</si>
  <si>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</si>
  <si>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</si>
  <si>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</si>
  <si>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</si>
  <si>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</si>
  <si>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</si>
  <si>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</si>
  <si>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</si>
  <si>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</si>
  <si>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</si>
  <si>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</si>
  <si>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</si>
  <si>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</si>
  <si>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</si>
  <si>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</si>
  <si>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</si>
  <si>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</si>
  <si>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</si>
  <si>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</si>
  <si>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</si>
  <si>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</si>
  <si>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</si>
  <si>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</si>
  <si>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</si>
  <si>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</si>
  <si>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</si>
  <si>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</si>
  <si>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</si>
  <si>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</si>
  <si>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</si>
  <si>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</si>
  <si>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</si>
  <si>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</si>
  <si>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</si>
  <si>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</si>
  <si>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</si>
  <si>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</si>
  <si>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</si>
  <si>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</si>
  <si>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</si>
  <si>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</si>
  <si>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</si>
  <si>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</si>
  <si>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</si>
  <si>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</si>
  <si>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</si>
  <si>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</si>
  <si>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</si>
  <si>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</si>
  <si>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</si>
  <si>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</si>
  <si>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</si>
  <si>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</si>
  <si>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</si>
  <si>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</si>
  <si>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</si>
  <si>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</si>
  <si>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</si>
  <si>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</si>
  <si>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</si>
  <si>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</si>
  <si>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</si>
  <si>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</si>
  <si>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</si>
  <si>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</si>
  <si>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</si>
  <si>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</si>
  <si>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</si>
  <si>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</si>
  <si>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</si>
  <si>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</si>
  <si>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</si>
  <si>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</si>
  <si>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</si>
  <si>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</si>
  <si>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</si>
  <si>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</si>
  <si>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</si>
  <si>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</si>
  <si>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</si>
  <si>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</si>
  <si>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</si>
  <si>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</si>
  <si>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</si>
  <si>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</si>
  <si>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</si>
  <si>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</si>
  <si>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</si>
  <si>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</si>
  <si>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</si>
  <si>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</si>
  <si>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</si>
  <si>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</si>
  <si>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</si>
  <si>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</si>
  <si>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</si>
  <si>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</si>
  <si>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</si>
  <si>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</si>
  <si>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</si>
  <si>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</si>
  <si>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</si>
  <si>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</si>
  <si>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</si>
  <si>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</si>
  <si>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</si>
  <si>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</si>
  <si>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</si>
  <si>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</si>
  <si>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</si>
  <si>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</si>
  <si>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</si>
  <si>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</si>
  <si>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</si>
  <si>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</si>
  <si>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</si>
  <si>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</si>
  <si>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</si>
  <si>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</si>
  <si>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</si>
  <si>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</si>
  <si>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</si>
  <si>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</si>
  <si>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</si>
  <si>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</si>
  <si>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</si>
  <si>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</si>
  <si>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</si>
  <si>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</si>
  <si>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</si>
  <si>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</si>
  <si>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</si>
  <si>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</si>
  <si>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</si>
  <si>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</si>
  <si>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</si>
  <si>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</si>
  <si>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</si>
  <si>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</si>
  <si>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</si>
  <si>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</si>
  <si>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</si>
  <si>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</si>
  <si>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</si>
  <si>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</si>
  <si>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</si>
  <si>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</si>
  <si>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</si>
  <si>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</si>
  <si>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</si>
  <si>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</si>
  <si>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</si>
  <si>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</si>
  <si>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</si>
  <si>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</si>
  <si>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</si>
  <si>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</si>
  <si>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</si>
  <si>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</si>
  <si>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</si>
  <si>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</si>
  <si>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</si>
  <si>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</si>
  <si>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</si>
  <si>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</si>
  <si>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</si>
  <si>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</si>
  <si>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</si>
  <si>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</si>
  <si>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</si>
  <si>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</si>
  <si>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</si>
  <si>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</si>
  <si>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</si>
  <si>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</si>
  <si>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</si>
  <si>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</si>
  <si>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</si>
  <si>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</si>
  <si>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</si>
  <si>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</si>
  <si>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</si>
  <si>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</si>
  <si>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</si>
  <si>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</si>
  <si>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</si>
  <si>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</si>
  <si>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</si>
  <si>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</si>
  <si>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</si>
  <si>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</si>
  <si>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</si>
  <si>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</si>
  <si>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</si>
  <si>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</si>
  <si>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</si>
  <si>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</si>
  <si>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</si>
  <si>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</si>
  <si>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</si>
  <si>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</si>
  <si>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</si>
  <si>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</si>
  <si>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</si>
  <si>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</si>
  <si>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</si>
  <si>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</si>
  <si>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</si>
  <si>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</si>
  <si>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</si>
  <si>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</si>
  <si>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</si>
  <si>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</si>
  <si>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</si>
  <si>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</si>
  <si>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</si>
  <si>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</si>
  <si>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</si>
  <si>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</si>
  <si>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</si>
  <si>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</si>
  <si>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</si>
  <si>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</si>
  <si>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</si>
  <si>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</si>
  <si>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</si>
  <si>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</si>
  <si>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</si>
  <si>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</si>
  <si>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</si>
  <si>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</si>
  <si>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</si>
  <si>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</si>
  <si>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</si>
  <si>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</si>
  <si>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</si>
  <si>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</si>
  <si>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</si>
  <si>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</si>
  <si>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</si>
  <si>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</si>
  <si>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</si>
  <si>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</si>
  <si>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</si>
  <si>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</si>
  <si>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</si>
  <si>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</si>
  <si>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</si>
  <si>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</si>
  <si>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</si>
  <si>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</si>
  <si>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</si>
  <si>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</si>
  <si>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</si>
  <si>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</si>
  <si>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</si>
  <si>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</si>
  <si>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</si>
  <si>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</si>
  <si>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</si>
  <si>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</si>
  <si>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</si>
  <si>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</si>
  <si>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</si>
  <si>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</si>
  <si>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</si>
  <si>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</si>
  <si>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</si>
  <si>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</si>
  <si>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</si>
  <si>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</si>
  <si>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</si>
  <si>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</si>
  <si>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</si>
  <si>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</si>
  <si>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</si>
  <si>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</si>
  <si>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</si>
  <si>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</si>
  <si>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</si>
  <si>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</si>
  <si>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</si>
  <si>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</si>
  <si>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</si>
  <si>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</si>
  <si>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</si>
  <si>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</si>
  <si>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</si>
  <si>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</si>
  <si>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</si>
  <si>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</si>
  <si>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</si>
  <si>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</si>
  <si>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</si>
  <si>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</si>
  <si>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</si>
  <si>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</si>
  <si>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</si>
  <si>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</si>
  <si>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</si>
  <si>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</si>
  <si>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</si>
  <si>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</si>
  <si>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</si>
  <si>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</si>
  <si>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</si>
  <si>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</si>
  <si>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</si>
  <si>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</si>
  <si>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</si>
  <si>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</si>
  <si>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</si>
  <si>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</si>
  <si>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</si>
  <si>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</si>
  <si>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</si>
  <si>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</si>
  <si>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</si>
  <si>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</si>
  <si>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</si>
  <si>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</si>
  <si>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</si>
  <si>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</si>
  <si>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</si>
  <si>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</si>
  <si>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</si>
  <si>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</si>
  <si>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</si>
  <si>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</si>
  <si>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</si>
  <si>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</si>
  <si>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</si>
  <si>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</si>
  <si>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</si>
  <si>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</si>
  <si>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</si>
  <si>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</si>
  <si>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</si>
  <si>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</si>
  <si>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</si>
  <si>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</si>
  <si>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</si>
  <si>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</si>
  <si>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</si>
  <si>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</si>
  <si>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</si>
  <si>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</si>
  <si>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</si>
  <si>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</si>
  <si>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</si>
  <si>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</si>
  <si>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</si>
  <si>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</si>
  <si>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</si>
  <si>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</si>
  <si>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</si>
  <si>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</si>
  <si>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</si>
  <si>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</si>
  <si>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</si>
  <si>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</si>
  <si>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</si>
  <si>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</si>
  <si>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</si>
  <si>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</si>
  <si>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</si>
  <si>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</si>
  <si>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</si>
  <si>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</si>
  <si>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</si>
  <si>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</si>
  <si>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</si>
  <si>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</si>
  <si>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</si>
  <si>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</si>
  <si>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</si>
  <si>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</si>
  <si>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</si>
  <si>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</si>
  <si>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</si>
  <si>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</si>
  <si>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</si>
  <si>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</si>
  <si>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</si>
  <si>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</si>
  <si>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</si>
  <si>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</si>
  <si>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</si>
  <si>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</si>
  <si>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</si>
  <si>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</si>
  <si>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</si>
  <si>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</si>
  <si>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</si>
  <si>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</si>
  <si>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</si>
  <si>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</si>
  <si>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</si>
  <si>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</si>
  <si>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</si>
  <si>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</si>
  <si>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</si>
  <si>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</si>
  <si>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</si>
  <si>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</si>
  <si>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</si>
  <si>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</si>
  <si>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</si>
  <si>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</si>
  <si>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</si>
  <si>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</si>
  <si>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</si>
  <si>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</si>
  <si>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</si>
  <si>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</si>
  <si>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</si>
  <si>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</si>
  <si>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</si>
  <si>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</si>
  <si>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</si>
  <si>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</si>
  <si>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</si>
  <si>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</si>
  <si>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</si>
  <si>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</si>
  <si>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</si>
  <si>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</si>
  <si>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</si>
  <si>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</si>
  <si>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</si>
  <si>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</si>
  <si>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</si>
  <si>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</si>
  <si>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</si>
  <si>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</si>
  <si>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</si>
  <si>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</si>
  <si>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</si>
  <si>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</si>
  <si>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</si>
  <si>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</si>
  <si>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</si>
  <si>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</si>
  <si>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</si>
  <si>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</si>
  <si>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</si>
  <si>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</si>
  <si>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</si>
  <si>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</si>
  <si>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</si>
  <si>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</si>
  <si>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</si>
  <si>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</si>
  <si>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</si>
  <si>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</si>
  <si>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</si>
  <si>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</si>
  <si>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</si>
  <si>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</si>
  <si>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</si>
  <si>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</si>
  <si>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</si>
  <si>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</si>
  <si>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</si>
  <si>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</si>
  <si>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</si>
  <si>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</si>
  <si>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</si>
  <si>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</si>
  <si>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</si>
  <si>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</si>
  <si>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</si>
  <si>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</si>
  <si>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</si>
  <si>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</si>
  <si>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</si>
  <si>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</si>
  <si>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</si>
  <si>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</si>
  <si>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</si>
  <si>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</si>
  <si>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</si>
  <si>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</si>
  <si>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</si>
  <si>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</si>
  <si>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</si>
  <si>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</si>
  <si>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</si>
  <si>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</si>
  <si>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</si>
  <si>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</si>
  <si>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</si>
  <si>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</si>
  <si>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</si>
  <si>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</si>
  <si>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</si>
  <si>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</si>
  <si>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</si>
  <si>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</si>
  <si>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</si>
  <si>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</si>
  <si>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</si>
  <si>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</si>
  <si>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</si>
  <si>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</si>
  <si>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</si>
  <si>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</si>
  <si>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</si>
  <si>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</si>
  <si>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</si>
  <si>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</si>
  <si>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</si>
  <si>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</si>
  <si>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</si>
  <si>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</si>
  <si>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</si>
  <si>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</si>
  <si>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</si>
  <si>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</si>
  <si>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</si>
  <si>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</si>
  <si>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</si>
  <si>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</si>
  <si>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</si>
  <si>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</si>
  <si>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</si>
  <si>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</si>
  <si>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</si>
  <si>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</si>
  <si>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</si>
  <si>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</si>
  <si>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</si>
  <si>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</si>
  <si>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</si>
  <si>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</si>
  <si>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</si>
  <si>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</si>
  <si>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</si>
  <si>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</si>
  <si>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</si>
  <si>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</si>
  <si>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</si>
  <si>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</si>
  <si>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</si>
  <si>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</si>
  <si>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</si>
  <si>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</si>
  <si>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</si>
  <si>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</si>
  <si>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</si>
  <si>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</si>
  <si>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</si>
  <si>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</si>
  <si>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</si>
  <si>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</si>
  <si>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</si>
  <si>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</si>
  <si>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</si>
  <si>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</si>
  <si>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</si>
  <si>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</si>
  <si>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</si>
  <si>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</si>
  <si>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</si>
  <si>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</si>
  <si>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</si>
  <si>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</si>
  <si>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</si>
  <si>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</si>
  <si>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</si>
  <si>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</si>
  <si>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</si>
  <si>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</si>
  <si>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</si>
  <si>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</si>
  <si>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</si>
  <si>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</si>
  <si>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</si>
  <si>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</si>
  <si>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</si>
  <si>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</si>
  <si>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</si>
  <si>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</si>
  <si>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</si>
  <si>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</si>
  <si>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</si>
  <si>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</si>
  <si>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</si>
  <si>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</si>
  <si>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</si>
  <si>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</si>
  <si>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</si>
  <si>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</si>
  <si>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</si>
  <si>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</si>
  <si>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</si>
  <si>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</si>
  <si>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</si>
  <si>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</si>
  <si>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</si>
  <si>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</si>
  <si>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</si>
  <si>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</si>
  <si>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</si>
  <si>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</si>
  <si>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</si>
  <si>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</si>
  <si>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</si>
  <si>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</si>
  <si>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</si>
  <si>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</si>
  <si>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</si>
  <si>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</si>
  <si>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</si>
  <si>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</si>
  <si>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</si>
  <si>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</si>
  <si>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</si>
  <si>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</si>
  <si>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</si>
  <si>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</si>
  <si>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</si>
  <si>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</si>
  <si>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</si>
  <si>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</si>
  <si>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</si>
  <si>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</si>
  <si>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</si>
  <si>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</si>
  <si>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</si>
  <si>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</si>
  <si>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</si>
  <si>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</si>
  <si>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</si>
  <si>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</si>
  <si>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</si>
  <si>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</si>
  <si>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</si>
  <si>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</si>
  <si>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</si>
  <si>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</si>
  <si>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</si>
  <si>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</si>
  <si>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</si>
  <si>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</si>
  <si>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</si>
  <si>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</si>
  <si>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</si>
  <si>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</si>
  <si>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</si>
  <si>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</si>
  <si>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</si>
  <si>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</si>
  <si>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</si>
  <si>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</si>
  <si>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</si>
  <si>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</si>
  <si>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</si>
  <si>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</si>
  <si>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</si>
  <si>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Performance Indicators</t>
  </si>
  <si>
    <t>TOTAL VALUES</t>
  </si>
  <si>
    <t>SALES</t>
  </si>
  <si>
    <t>QUANTITY</t>
  </si>
  <si>
    <t>PROFIT</t>
  </si>
  <si>
    <t>CY</t>
  </si>
  <si>
    <t>PY</t>
  </si>
  <si>
    <t>YOY%</t>
  </si>
  <si>
    <t>Totals</t>
  </si>
  <si>
    <t>SALES TREND</t>
  </si>
  <si>
    <t>Sales by State</t>
  </si>
  <si>
    <t>Top selling cities</t>
  </si>
  <si>
    <t>Count of Order ID</t>
  </si>
  <si>
    <t>Orders by duration</t>
  </si>
  <si>
    <t>Orders by shipping mode</t>
  </si>
  <si>
    <t>Sales by category</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</si>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</sst>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gt;=1000000]&quot;$&quot;0.0,,&quot;M&quot;;[&gt;=1000]&quot;$&quot;0.0,&quot;K&quot;"/>
    <numFmt numFmtId="165" formatCode="[&gt;=1000000]0.0,,&quot;M&quot;;[&gt;=1000]0.0,&quot;K&quot;"/>
    <numFmt numFmtId="166" formatCode="&quot;$&quot;#,##0.00"/>
    <numFmt numFmtId="167" formatCode="[&gt;=1000000]&quot;$&quot;0.0,,&quot;M&quot;;[&gt;=1000]&quot;$&quot;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30">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9" formatCode="m/d/yyyy"/>
    </dxf>
    <dxf>
      <numFmt numFmtId="19" formatCode="m/d/yyyy"/>
    </dxf>
    <dxf>
      <numFmt numFmtId="13" formatCode="0%"/>
    </dxf>
    <dxf>
      <numFmt numFmtId="14" formatCode="0.00%"/>
    </dxf>
    <dxf>
      <numFmt numFmtId="13" formatCode="0%"/>
    </dxf>
    <dxf>
      <numFmt numFmtId="14" formatCode="0.0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0F4F6"/>
      <color rgb="FFCCDCEB"/>
      <color rgb="FFF8F9FA"/>
      <color rgb="FFBFC0F9"/>
      <color rgb="FF385F7C"/>
      <color rgb="FFE1EA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Tables!PivotTable7</c:name>
    <c:fmtId val="0"/>
  </c:pivotSource>
  <c:chart>
    <c:autoTitleDeleted val="1"/>
    <c:pivotFmts>
      <c:pivotFmt>
        <c:idx val="0"/>
        <c:spPr>
          <a:ln w="19050" cap="rnd">
            <a:solidFill>
              <a:srgbClr val="385F7C"/>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19050" cap="rnd">
              <a:solidFill>
                <a:srgbClr val="385F7C"/>
              </a:solidFill>
              <a:prstDash val="sysDot"/>
              <a:round/>
            </a:ln>
            <a:effectLst/>
          </c:spPr>
          <c:marker>
            <c:symbol val="circle"/>
            <c:size val="5"/>
            <c:spPr>
              <a:solidFill>
                <a:srgbClr val="385F7C"/>
              </a:solidFill>
              <a:ln w="9525">
                <a:solidFill>
                  <a:schemeClr val="accent1"/>
                </a:solidFill>
              </a:ln>
              <a:effectLst/>
            </c:spPr>
          </c:marker>
          <c:cat>
            <c:strRef>
              <c:f>'Pivot Tables'!$A$17:$A$29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Tables'!$B$17:$B$29</c:f>
              <c:numCache>
                <c:formatCode>[&gt;=1000000]"$"0.0,,"M";[&gt;=1000]"$"0.0,"K";0</c:formatCode>
                <c:ptCount val="12"/>
                <c:pt idx="0">
                  <c:v>8757.7189999999991</c:v>
                </c:pt>
                <c:pt idx="1">
                  <c:v>4191.915</c:v>
                </c:pt>
                <c:pt idx="2">
                  <c:v>14777.923999999999</c:v>
                </c:pt>
                <c:pt idx="3">
                  <c:v>15059.305000000002</c:v>
                </c:pt>
                <c:pt idx="4">
                  <c:v>13458.961499999996</c:v>
                </c:pt>
                <c:pt idx="5">
                  <c:v>18512.566500000001</c:v>
                </c:pt>
                <c:pt idx="6">
                  <c:v>22212.769999999993</c:v>
                </c:pt>
                <c:pt idx="7">
                  <c:v>17137.474999999999</c:v>
                </c:pt>
                <c:pt idx="8">
                  <c:v>32335.855499999994</c:v>
                </c:pt>
                <c:pt idx="9">
                  <c:v>18322.699000000001</c:v>
                </c:pt>
                <c:pt idx="10">
                  <c:v>37794.448499999962</c:v>
                </c:pt>
                <c:pt idx="11">
                  <c:v>50051.10449999995</c:v>
                </c:pt>
              </c:numCache>
            </c:numRef>
          </c:val>
          <c:smooth val="1"/>
          <c:extLst>
            <c:ext xmlns:c16="http://schemas.microsoft.com/office/drawing/2014/chart" uri="{C3380CC4-5D6E-409C-BE32-E72D297353CC}">
              <c16:uniqueId val="{00000000-51FD-45E4-8445-CB31A83F819A}"/>
            </c:ext>
          </c:extLst>
        </c:ser>
        <c:dLbls>
          <c:showLegendKey val="0"/>
          <c:showVal val="0"/>
          <c:showCatName val="0"/>
          <c:showSerName val="0"/>
          <c:showPercent val="0"/>
          <c:showBubbleSize val="0"/>
        </c:dLbls>
        <c:marker val="1"/>
        <c:smooth val="0"/>
        <c:axId val="140175023"/>
        <c:axId val="140158223"/>
      </c:lineChart>
      <c:catAx>
        <c:axId val="14017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223"/>
        <c:crosses val="autoZero"/>
        <c:auto val="1"/>
        <c:lblAlgn val="ctr"/>
        <c:lblOffset val="100"/>
        <c:noMultiLvlLbl val="0"/>
      </c:catAx>
      <c:valAx>
        <c:axId val="140158223"/>
        <c:scaling>
          <c:orientation val="minMax"/>
        </c:scaling>
        <c:delete val="1"/>
        <c:axPos val="l"/>
        <c:numFmt formatCode="[&gt;=1000000]&quot;$&quot;0.0,,&quot;M&quot;;[&gt;=1000]&quot;$&quot;0.0,&quot;K&quot;;0" sourceLinked="1"/>
        <c:majorTickMark val="out"/>
        <c:minorTickMark val="none"/>
        <c:tickLblPos val="nextTo"/>
        <c:crossAx val="1401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Tables!PivotTable7</c:name>
    <c:fmtId val="2"/>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19050" cap="rnd">
              <a:solidFill>
                <a:srgbClr val="385F7C"/>
              </a:solidFill>
              <a:prstDash val="sysDot"/>
              <a:round/>
            </a:ln>
            <a:effectLst/>
          </c:spPr>
          <c:marker>
            <c:symbol val="circle"/>
            <c:size val="8"/>
            <c:spPr>
              <a:solidFill>
                <a:srgbClr val="385F7C"/>
              </a:solidFill>
              <a:ln w="9525">
                <a:solidFill>
                  <a:schemeClr val="accent1"/>
                </a:solidFill>
              </a:ln>
              <a:effectLst/>
            </c:spPr>
          </c:marker>
          <c:cat>
            <c:strRef>
              <c:f>'Pivot Tables'!$A$17:$A$29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Tables'!$B$17:$B$29</c:f>
              <c:numCache>
                <c:formatCode>[&gt;=1000000]"$"0.0,,"M";[&gt;=1000]"$"0.0,"K";0</c:formatCode>
                <c:ptCount val="12"/>
                <c:pt idx="0">
                  <c:v>8757.7189999999991</c:v>
                </c:pt>
                <c:pt idx="1">
                  <c:v>4191.915</c:v>
                </c:pt>
                <c:pt idx="2">
                  <c:v>14777.923999999999</c:v>
                </c:pt>
                <c:pt idx="3">
                  <c:v>15059.305000000002</c:v>
                </c:pt>
                <c:pt idx="4">
                  <c:v>13458.961499999996</c:v>
                </c:pt>
                <c:pt idx="5">
                  <c:v>18512.566500000001</c:v>
                </c:pt>
                <c:pt idx="6">
                  <c:v>22212.769999999993</c:v>
                </c:pt>
                <c:pt idx="7">
                  <c:v>17137.474999999999</c:v>
                </c:pt>
                <c:pt idx="8">
                  <c:v>32335.855499999994</c:v>
                </c:pt>
                <c:pt idx="9">
                  <c:v>18322.699000000001</c:v>
                </c:pt>
                <c:pt idx="10">
                  <c:v>37794.448499999962</c:v>
                </c:pt>
                <c:pt idx="11">
                  <c:v>50051.10449999995</c:v>
                </c:pt>
              </c:numCache>
            </c:numRef>
          </c:val>
          <c:smooth val="1"/>
          <c:extLst>
            <c:ext xmlns:c16="http://schemas.microsoft.com/office/drawing/2014/chart" uri="{C3380CC4-5D6E-409C-BE32-E72D297353CC}">
              <c16:uniqueId val="{00000000-966F-49F4-8ED4-7465980EAA9C}"/>
            </c:ext>
          </c:extLst>
        </c:ser>
        <c:dLbls>
          <c:showLegendKey val="0"/>
          <c:showVal val="0"/>
          <c:showCatName val="0"/>
          <c:showSerName val="0"/>
          <c:showPercent val="0"/>
          <c:showBubbleSize val="0"/>
        </c:dLbls>
        <c:marker val="1"/>
        <c:smooth val="0"/>
        <c:axId val="140175023"/>
        <c:axId val="140158223"/>
      </c:lineChart>
      <c:catAx>
        <c:axId val="14017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223"/>
        <c:crosses val="autoZero"/>
        <c:auto val="1"/>
        <c:lblAlgn val="ctr"/>
        <c:lblOffset val="100"/>
        <c:noMultiLvlLbl val="0"/>
      </c:catAx>
      <c:valAx>
        <c:axId val="140158223"/>
        <c:scaling>
          <c:orientation val="minMax"/>
        </c:scaling>
        <c:delete val="1"/>
        <c:axPos val="l"/>
        <c:numFmt formatCode="[&gt;=1000000]&quot;$&quot;0.0,,&quot;M&quot;;[&gt;=1000]&quot;$&quot;0.0,&quot;K&quot;;0" sourceLinked="1"/>
        <c:majorTickMark val="out"/>
        <c:minorTickMark val="none"/>
        <c:tickLblPos val="nextTo"/>
        <c:crossAx val="1401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Tables!PivotTable10</c:name>
    <c:fmtId val="4"/>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Tables'!$H$27</c:f>
              <c:strCache>
                <c:ptCount val="1"/>
                <c:pt idx="0">
                  <c:v>Total</c:v>
                </c:pt>
              </c:strCache>
            </c:strRef>
          </c:tx>
          <c:spPr>
            <a:ln w="28575" cap="rnd">
              <a:noFill/>
              <a:round/>
            </a:ln>
            <a:effectLst/>
          </c:spPr>
          <c:marker>
            <c:symbol val="circle"/>
            <c:size val="10"/>
            <c:spPr>
              <a:solidFill>
                <a:srgbClr val="385F7C"/>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Tables'!$G$28:$G$36</c:f>
              <c:strCache>
                <c:ptCount val="8"/>
                <c:pt idx="0">
                  <c:v>0- days</c:v>
                </c:pt>
                <c:pt idx="1">
                  <c:v>1- days</c:v>
                </c:pt>
                <c:pt idx="2">
                  <c:v>2- days</c:v>
                </c:pt>
                <c:pt idx="3">
                  <c:v>3- days</c:v>
                </c:pt>
                <c:pt idx="4">
                  <c:v>4- days</c:v>
                </c:pt>
                <c:pt idx="5">
                  <c:v>5- days</c:v>
                </c:pt>
                <c:pt idx="6">
                  <c:v>6- days</c:v>
                </c:pt>
                <c:pt idx="7">
                  <c:v>7- days</c:v>
                </c:pt>
              </c:strCache>
            </c:strRef>
          </c:cat>
          <c:val>
            <c:numRef>
              <c:f>'Pivot Tables'!$H$28:$H$36</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2444-49CB-AD0C-DC684BAD8254}"/>
            </c:ext>
          </c:extLst>
        </c:ser>
        <c:dLbls>
          <c:dLblPos val="t"/>
          <c:showLegendKey val="0"/>
          <c:showVal val="1"/>
          <c:showCatName val="0"/>
          <c:showSerName val="0"/>
          <c:showPercent val="0"/>
          <c:showBubbleSize val="0"/>
        </c:dLbls>
        <c:dropLines>
          <c:spPr>
            <a:ln w="15875" cap="flat" cmpd="sng" algn="ctr">
              <a:solidFill>
                <a:schemeClr val="tx1">
                  <a:lumMod val="35000"/>
                  <a:lumOff val="65000"/>
                </a:schemeClr>
              </a:solidFill>
              <a:prstDash val="sysDot"/>
              <a:round/>
            </a:ln>
            <a:effectLst/>
          </c:spPr>
        </c:dropLines>
        <c:marker val="1"/>
        <c:smooth val="0"/>
        <c:axId val="140153903"/>
        <c:axId val="140142863"/>
      </c:lineChart>
      <c:catAx>
        <c:axId val="1401539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2863"/>
        <c:crosses val="autoZero"/>
        <c:auto val="1"/>
        <c:lblAlgn val="ctr"/>
        <c:lblOffset val="100"/>
        <c:noMultiLvlLbl val="0"/>
      </c:catAx>
      <c:valAx>
        <c:axId val="140142863"/>
        <c:scaling>
          <c:orientation val="minMax"/>
        </c:scaling>
        <c:delete val="1"/>
        <c:axPos val="l"/>
        <c:numFmt formatCode="0%" sourceLinked="1"/>
        <c:majorTickMark val="none"/>
        <c:minorTickMark val="none"/>
        <c:tickLblPos val="nextTo"/>
        <c:crossAx val="14015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B"/>
            </a:solidFill>
            <a:ln>
              <a:noFill/>
            </a:ln>
            <a:effectLst/>
          </c:spPr>
          <c:invertIfNegative val="0"/>
          <c:cat>
            <c:strRef>
              <c:f>'Pivot Tables'!$I$17:$I$21</c:f>
              <c:strCache>
                <c:ptCount val="5"/>
                <c:pt idx="0">
                  <c:v>Los Angeles</c:v>
                </c:pt>
                <c:pt idx="1">
                  <c:v>New York City</c:v>
                </c:pt>
                <c:pt idx="2">
                  <c:v>Philadelphia</c:v>
                </c:pt>
                <c:pt idx="3">
                  <c:v>San Francisco</c:v>
                </c:pt>
                <c:pt idx="4">
                  <c:v>Seattle</c:v>
                </c:pt>
              </c:strCache>
            </c:strRef>
          </c:cat>
          <c:val>
            <c:numRef>
              <c:f>'Pivot Tables'!$J$17:$J$21</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828F-43F4-8BA4-981C526C1718}"/>
            </c:ext>
          </c:extLst>
        </c:ser>
        <c:ser>
          <c:idx val="1"/>
          <c:order val="1"/>
          <c:spPr>
            <a:solidFill>
              <a:srgbClr val="F8F9FA">
                <a:alpha val="56000"/>
              </a:srgbClr>
            </a:solidFill>
            <a:ln>
              <a:noFill/>
            </a:ln>
            <a:effectLst/>
          </c:spPr>
          <c:invertIfNegative val="0"/>
          <c:dLbls>
            <c:dLbl>
              <c:idx val="0"/>
              <c:tx>
                <c:rich>
                  <a:bodyPr/>
                  <a:lstStyle/>
                  <a:p>
                    <a:fld id="{91737CA8-C42D-4A61-9EB9-CA2A47D9F42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28F-43F4-8BA4-981C526C1718}"/>
                </c:ext>
              </c:extLst>
            </c:dLbl>
            <c:dLbl>
              <c:idx val="1"/>
              <c:tx>
                <c:rich>
                  <a:bodyPr/>
                  <a:lstStyle/>
                  <a:p>
                    <a:fld id="{158568EE-AF0D-4B2C-AC41-3147D7C7D46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28F-43F4-8BA4-981C526C1718}"/>
                </c:ext>
              </c:extLst>
            </c:dLbl>
            <c:dLbl>
              <c:idx val="2"/>
              <c:tx>
                <c:rich>
                  <a:bodyPr/>
                  <a:lstStyle/>
                  <a:p>
                    <a:fld id="{6B09B084-5B6F-42A8-84D8-3B638968EA7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28F-43F4-8BA4-981C526C1718}"/>
                </c:ext>
              </c:extLst>
            </c:dLbl>
            <c:dLbl>
              <c:idx val="3"/>
              <c:tx>
                <c:rich>
                  <a:bodyPr/>
                  <a:lstStyle/>
                  <a:p>
                    <a:fld id="{234E24FA-F8B5-4B7E-B945-0F6A7AB4F35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28F-43F4-8BA4-981C526C1718}"/>
                </c:ext>
              </c:extLst>
            </c:dLbl>
            <c:dLbl>
              <c:idx val="4"/>
              <c:tx>
                <c:rich>
                  <a:bodyPr/>
                  <a:lstStyle/>
                  <a:p>
                    <a:fld id="{7DFC0705-593F-4BB8-8551-EE3D246E33B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28F-43F4-8BA4-981C526C1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Tables'!$I$17:$I$21</c:f>
              <c:strCache>
                <c:ptCount val="5"/>
                <c:pt idx="0">
                  <c:v>Los Angeles</c:v>
                </c:pt>
                <c:pt idx="1">
                  <c:v>New York City</c:v>
                </c:pt>
                <c:pt idx="2">
                  <c:v>Philadelphia</c:v>
                </c:pt>
                <c:pt idx="3">
                  <c:v>San Francisco</c:v>
                </c:pt>
                <c:pt idx="4">
                  <c:v>Seattle</c:v>
                </c:pt>
              </c:strCache>
            </c:strRef>
          </c:cat>
          <c:val>
            <c:numRef>
              <c:f>'Pivot Tables'!$K$17:$K$21</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'Pivot Tables'!$J$17:$J$21</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828F-43F4-8BA4-981C526C1718}"/>
            </c:ext>
          </c:extLst>
        </c:ser>
        <c:dLbls>
          <c:showLegendKey val="0"/>
          <c:showVal val="0"/>
          <c:showCatName val="0"/>
          <c:showSerName val="0"/>
          <c:showPercent val="0"/>
          <c:showBubbleSize val="0"/>
        </c:dLbls>
        <c:gapWidth val="150"/>
        <c:overlap val="100"/>
        <c:axId val="140154383"/>
        <c:axId val="140143823"/>
      </c:barChart>
      <c:catAx>
        <c:axId val="140154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3823"/>
        <c:crosses val="autoZero"/>
        <c:auto val="1"/>
        <c:lblAlgn val="ctr"/>
        <c:lblOffset val="100"/>
        <c:noMultiLvlLbl val="0"/>
      </c:catAx>
      <c:valAx>
        <c:axId val="140143823"/>
        <c:scaling>
          <c:orientation val="minMax"/>
        </c:scaling>
        <c:delete val="1"/>
        <c:axPos val="b"/>
        <c:numFmt formatCode="[&gt;=1000000]&quot;$&quot;0.0,,&quot;M&quot;;[&gt;=1000]&quot;$&quot;0.0,&quot;K&quot;;0" sourceLinked="1"/>
        <c:majorTickMark val="none"/>
        <c:minorTickMark val="none"/>
        <c:tickLblPos val="nextTo"/>
        <c:crossAx val="140154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Tables!PivotTable11</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noFill/>
          </a:ln>
          <a:effectLst/>
        </c:spPr>
      </c:pivotFmt>
      <c:pivotFmt>
        <c:idx val="2"/>
        <c:spPr>
          <a:solidFill>
            <a:srgbClr val="BFC0F9"/>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rgbClr val="BFC0F9"/>
          </a:solidFill>
          <a:ln w="19050">
            <a:noFill/>
          </a:ln>
          <a:effectLst/>
        </c:spPr>
      </c:pivotFmt>
      <c:pivotFmt>
        <c:idx val="6"/>
        <c:spPr>
          <a:solidFill>
            <a:schemeClr val="accent1"/>
          </a:solidFill>
          <a:ln w="19050">
            <a:noFill/>
          </a:ln>
          <a:effectLst/>
        </c:spPr>
      </c:pivotFmt>
      <c:pivotFmt>
        <c:idx val="7"/>
        <c:spPr>
          <a:solidFill>
            <a:srgbClr val="385F7C"/>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6.7924539834801026E-2"/>
              <c:y val="9.438198907122390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C0F9"/>
          </a:solidFill>
          <a:ln w="19050">
            <a:noFill/>
          </a:ln>
          <a:effectLst/>
        </c:spPr>
        <c:dLbl>
          <c:idx val="0"/>
          <c:layout>
            <c:manualLayout>
              <c:x val="-8.7331551216172712E-2"/>
              <c:y val="-1.348314129588912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7.4393543628591546E-2"/>
              <c:y val="-0.1011235597191684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85F7C"/>
          </a:solidFill>
          <a:ln w="19050">
            <a:noFill/>
          </a:ln>
          <a:effectLst/>
        </c:spPr>
        <c:dLbl>
          <c:idx val="0"/>
          <c:layout>
            <c:manualLayout>
              <c:x val="6.7924539834800887E-2"/>
              <c:y val="0.202247119438336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Tables'!$H$40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446-4330-BD4E-CA3ED35196C8}"/>
              </c:ext>
            </c:extLst>
          </c:dPt>
          <c:dPt>
            <c:idx val="1"/>
            <c:bubble3D val="0"/>
            <c:spPr>
              <a:solidFill>
                <a:srgbClr val="BFC0F9"/>
              </a:solidFill>
              <a:ln w="19050">
                <a:noFill/>
              </a:ln>
              <a:effectLst/>
            </c:spPr>
            <c:extLst>
              <c:ext xmlns:c16="http://schemas.microsoft.com/office/drawing/2014/chart" uri="{C3380CC4-5D6E-409C-BE32-E72D297353CC}">
                <c16:uniqueId val="{00000003-A446-4330-BD4E-CA3ED35196C8}"/>
              </c:ext>
            </c:extLst>
          </c:dPt>
          <c:dPt>
            <c:idx val="2"/>
            <c:bubble3D val="0"/>
            <c:spPr>
              <a:solidFill>
                <a:schemeClr val="accent3"/>
              </a:solidFill>
              <a:ln w="19050">
                <a:noFill/>
              </a:ln>
              <a:effectLst/>
            </c:spPr>
            <c:extLst>
              <c:ext xmlns:c16="http://schemas.microsoft.com/office/drawing/2014/chart" uri="{C3380CC4-5D6E-409C-BE32-E72D297353CC}">
                <c16:uniqueId val="{00000005-A446-4330-BD4E-CA3ED35196C8}"/>
              </c:ext>
            </c:extLst>
          </c:dPt>
          <c:dPt>
            <c:idx val="3"/>
            <c:bubble3D val="0"/>
            <c:spPr>
              <a:solidFill>
                <a:srgbClr val="385F7C"/>
              </a:solidFill>
              <a:ln w="19050">
                <a:noFill/>
              </a:ln>
              <a:effectLst/>
            </c:spPr>
            <c:extLst>
              <c:ext xmlns:c16="http://schemas.microsoft.com/office/drawing/2014/chart" uri="{C3380CC4-5D6E-409C-BE32-E72D297353CC}">
                <c16:uniqueId val="{00000007-A446-4330-BD4E-CA3ED35196C8}"/>
              </c:ext>
            </c:extLst>
          </c:dPt>
          <c:dLbls>
            <c:dLbl>
              <c:idx val="0"/>
              <c:layout>
                <c:manualLayout>
                  <c:x val="-6.7924539834801026E-2"/>
                  <c:y val="9.4381989071223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46-4330-BD4E-CA3ED35196C8}"/>
                </c:ext>
              </c:extLst>
            </c:dLbl>
            <c:dLbl>
              <c:idx val="1"/>
              <c:layout>
                <c:manualLayout>
                  <c:x val="-8.7331551216172712E-2"/>
                  <c:y val="-1.348314129588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46-4330-BD4E-CA3ED35196C8}"/>
                </c:ext>
              </c:extLst>
            </c:dLbl>
            <c:dLbl>
              <c:idx val="2"/>
              <c:layout>
                <c:manualLayout>
                  <c:x val="-7.4393543628591546E-2"/>
                  <c:y val="-0.10112355971916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46-4330-BD4E-CA3ED35196C8}"/>
                </c:ext>
              </c:extLst>
            </c:dLbl>
            <c:dLbl>
              <c:idx val="3"/>
              <c:layout>
                <c:manualLayout>
                  <c:x val="6.7924539834800887E-2"/>
                  <c:y val="0.202247119438336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A446-4330-BD4E-CA3ED35196C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2222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'Pivot Tables'!$G$41:$G$45</c:f>
              <c:strCache>
                <c:ptCount val="4"/>
                <c:pt idx="0">
                  <c:v>First Class</c:v>
                </c:pt>
                <c:pt idx="1">
                  <c:v>Same Day</c:v>
                </c:pt>
                <c:pt idx="2">
                  <c:v>Second Class</c:v>
                </c:pt>
                <c:pt idx="3">
                  <c:v>Standard Class</c:v>
                </c:pt>
              </c:strCache>
            </c:strRef>
          </c:cat>
          <c:val>
            <c:numRef>
              <c:f>'Pivot Tables'!$H$41:$H$45</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A446-4330-BD4E-CA3ED35196C8}"/>
            </c:ext>
          </c:extLst>
        </c:ser>
        <c:dLbls>
          <c:showLegendKey val="0"/>
          <c:showVal val="1"/>
          <c:showCatName val="0"/>
          <c:showSerName val="0"/>
          <c:showPercent val="0"/>
          <c:showBubbleSize val="0"/>
          <c:showLeaderLines val="1"/>
        </c:dLbls>
        <c:firstSliceAng val="203"/>
        <c:holeSize val="8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B"/>
            </a:solidFill>
            <a:ln>
              <a:noFill/>
            </a:ln>
            <a:effectLst/>
          </c:spPr>
          <c:invertIfNegative val="0"/>
          <c:cat>
            <c:strRef>
              <c:f>'Pivot Tables'!$I$51:$I$54</c:f>
              <c:strCache>
                <c:ptCount val="4"/>
                <c:pt idx="0">
                  <c:v>Bookcases</c:v>
                </c:pt>
                <c:pt idx="1">
                  <c:v>Chairs</c:v>
                </c:pt>
                <c:pt idx="2">
                  <c:v>Furnishings</c:v>
                </c:pt>
                <c:pt idx="3">
                  <c:v>Tables</c:v>
                </c:pt>
              </c:strCache>
            </c:strRef>
          </c:cat>
          <c:val>
            <c:numRef>
              <c:f>'Pivot Tables'!$J$51:$J$54</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81DE-426B-BB84-8788C1090987}"/>
            </c:ext>
          </c:extLst>
        </c:ser>
        <c:ser>
          <c:idx val="1"/>
          <c:order val="1"/>
          <c:spPr>
            <a:solidFill>
              <a:srgbClr val="F0F4F6"/>
            </a:solidFill>
            <a:ln>
              <a:noFill/>
            </a:ln>
            <a:effectLst/>
          </c:spPr>
          <c:invertIfNegative val="0"/>
          <c:dLbls>
            <c:dLbl>
              <c:idx val="0"/>
              <c:tx>
                <c:rich>
                  <a:bodyPr/>
                  <a:lstStyle/>
                  <a:p>
                    <a:fld id="{DCEF04CB-1F3E-4E82-A2B7-D59C7DB0044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1DE-426B-BB84-8788C1090987}"/>
                </c:ext>
              </c:extLst>
            </c:dLbl>
            <c:dLbl>
              <c:idx val="1"/>
              <c:tx>
                <c:rich>
                  <a:bodyPr/>
                  <a:lstStyle/>
                  <a:p>
                    <a:fld id="{7E11C4E5-36EC-4C76-ACDC-83E8214984D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1DE-426B-BB84-8788C1090987}"/>
                </c:ext>
              </c:extLst>
            </c:dLbl>
            <c:dLbl>
              <c:idx val="2"/>
              <c:tx>
                <c:rich>
                  <a:bodyPr/>
                  <a:lstStyle/>
                  <a:p>
                    <a:fld id="{708A5975-9416-40EA-B938-21AF47555E4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1DE-426B-BB84-8788C1090987}"/>
                </c:ext>
              </c:extLst>
            </c:dLbl>
            <c:dLbl>
              <c:idx val="3"/>
              <c:tx>
                <c:rich>
                  <a:bodyPr/>
                  <a:lstStyle/>
                  <a:p>
                    <a:fld id="{F7EE9D1A-C1DA-41C2-A75F-E9F3F4167B3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1DE-426B-BB84-8788C10909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Tables'!$I$51:$I$54</c:f>
              <c:strCache>
                <c:ptCount val="4"/>
                <c:pt idx="0">
                  <c:v>Bookcases</c:v>
                </c:pt>
                <c:pt idx="1">
                  <c:v>Chairs</c:v>
                </c:pt>
                <c:pt idx="2">
                  <c:v>Furnishings</c:v>
                </c:pt>
                <c:pt idx="3">
                  <c:v>Tables</c:v>
                </c:pt>
              </c:strCache>
            </c:strRef>
          </c:cat>
          <c:val>
            <c:numRef>
              <c:f>'Pivot Tables'!$K$51:$K$54</c:f>
              <c:numCache>
                <c:formatCode>"$"#,##0.00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Tables'!$J$51:$J$54</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5-81DE-426B-BB84-8788C1090987}"/>
            </c:ext>
          </c:extLst>
        </c:ser>
        <c:dLbls>
          <c:showLegendKey val="0"/>
          <c:showVal val="0"/>
          <c:showCatName val="0"/>
          <c:showSerName val="0"/>
          <c:showPercent val="0"/>
          <c:showBubbleSize val="0"/>
        </c:dLbls>
        <c:gapWidth val="150"/>
        <c:overlap val="100"/>
        <c:axId val="262103791"/>
        <c:axId val="262088431"/>
      </c:barChart>
      <c:catAx>
        <c:axId val="262103791"/>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88431"/>
        <c:crosses val="autoZero"/>
        <c:auto val="1"/>
        <c:lblAlgn val="ctr"/>
        <c:lblOffset val="100"/>
        <c:noMultiLvlLbl val="0"/>
      </c:catAx>
      <c:valAx>
        <c:axId val="262088431"/>
        <c:scaling>
          <c:orientation val="maxMin"/>
        </c:scaling>
        <c:delete val="1"/>
        <c:axPos val="b"/>
        <c:numFmt formatCode="[&gt;=1000000]&quot;$&quot;0.0,,&quot;M&quot;;[&gt;=1000]&quot;$&quot;0.0,&quot;K&quot;;0" sourceLinked="1"/>
        <c:majorTickMark val="none"/>
        <c:minorTickMark val="none"/>
        <c:tickLblPos val="nextTo"/>
        <c:crossAx val="262103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FE8C7E0-1199-4BC4-A194-2D8AA7A6C279}">
          <cx:tx>
            <cx:txData>
              <cx:f>_xlchart.v5.2</cx:f>
              <cx:v>SALES</cx:v>
            </cx:txData>
          </cx:tx>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742950</xdr:colOff>
      <xdr:row>0</xdr:row>
      <xdr:rowOff>165100</xdr:rowOff>
    </xdr:from>
    <xdr:to>
      <xdr:col>9</xdr:col>
      <xdr:colOff>6350</xdr:colOff>
      <xdr:row>12</xdr:row>
      <xdr:rowOff>127000</xdr:rowOff>
    </xdr:to>
    <xdr:graphicFrame macro="">
      <xdr:nvGraphicFramePr>
        <xdr:cNvPr id="2" name="Chart 1">
          <a:extLst>
            <a:ext uri="{FF2B5EF4-FFF2-40B4-BE49-F238E27FC236}">
              <a16:creationId xmlns:a16="http://schemas.microsoft.com/office/drawing/2014/main" id="{F62B36FF-2F1E-D6C3-4D6B-57016A51A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51409</xdr:colOff>
      <xdr:row>1</xdr:row>
      <xdr:rowOff>18142</xdr:rowOff>
    </xdr:from>
    <xdr:to>
      <xdr:col>28</xdr:col>
      <xdr:colOff>24198</xdr:colOff>
      <xdr:row>40</xdr:row>
      <xdr:rowOff>52916</xdr:rowOff>
    </xdr:to>
    <xdr:sp macro="" textlink="">
      <xdr:nvSpPr>
        <xdr:cNvPr id="2" name="Rectangle: Rounded Corners 1">
          <a:extLst>
            <a:ext uri="{FF2B5EF4-FFF2-40B4-BE49-F238E27FC236}">
              <a16:creationId xmlns:a16="http://schemas.microsoft.com/office/drawing/2014/main" id="{A8919A95-4F6F-2FE3-7393-E1C12BE3E346}"/>
            </a:ext>
          </a:extLst>
        </xdr:cNvPr>
        <xdr:cNvSpPr/>
      </xdr:nvSpPr>
      <xdr:spPr>
        <a:xfrm>
          <a:off x="2506742" y="198059"/>
          <a:ext cx="14704789" cy="7051524"/>
        </a:xfrm>
        <a:prstGeom prst="roundRect">
          <a:avLst>
            <a:gd name="adj" fmla="val 6741"/>
          </a:avLst>
        </a:prstGeom>
        <a:solidFill>
          <a:srgbClr val="CCDC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4</xdr:col>
      <xdr:colOff>242827</xdr:colOff>
      <xdr:row>2</xdr:row>
      <xdr:rowOff>58363</xdr:rowOff>
    </xdr:from>
    <xdr:to>
      <xdr:col>27</xdr:col>
      <xdr:colOff>476254</xdr:colOff>
      <xdr:row>39</xdr:row>
      <xdr:rowOff>42338</xdr:rowOff>
    </xdr:to>
    <xdr:sp macro="" textlink="">
      <xdr:nvSpPr>
        <xdr:cNvPr id="3" name="Rectangle: Rounded Corners 2">
          <a:extLst>
            <a:ext uri="{FF2B5EF4-FFF2-40B4-BE49-F238E27FC236}">
              <a16:creationId xmlns:a16="http://schemas.microsoft.com/office/drawing/2014/main" id="{DCA1F746-C268-1435-3150-1F987FE72B50}"/>
            </a:ext>
          </a:extLst>
        </xdr:cNvPr>
        <xdr:cNvSpPr/>
      </xdr:nvSpPr>
      <xdr:spPr>
        <a:xfrm>
          <a:off x="2698160" y="418196"/>
          <a:ext cx="14351594" cy="6640892"/>
        </a:xfrm>
        <a:prstGeom prst="roundRect">
          <a:avLst>
            <a:gd name="adj" fmla="val 6741"/>
          </a:avLst>
        </a:prstGeom>
        <a:solidFill>
          <a:srgbClr val="E1EA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4</xdr:col>
      <xdr:colOff>508005</xdr:colOff>
      <xdr:row>7</xdr:row>
      <xdr:rowOff>74085</xdr:rowOff>
    </xdr:from>
    <xdr:to>
      <xdr:col>11</xdr:col>
      <xdr:colOff>254001</xdr:colOff>
      <xdr:row>14</xdr:row>
      <xdr:rowOff>74085</xdr:rowOff>
    </xdr:to>
    <xdr:sp macro="" textlink="">
      <xdr:nvSpPr>
        <xdr:cNvPr id="4" name="Rectangle: Rounded Corners 3">
          <a:extLst>
            <a:ext uri="{FF2B5EF4-FFF2-40B4-BE49-F238E27FC236}">
              <a16:creationId xmlns:a16="http://schemas.microsoft.com/office/drawing/2014/main" id="{681F7C0D-8E5F-D41E-AEF8-8050C20109C2}"/>
            </a:ext>
          </a:extLst>
        </xdr:cNvPr>
        <xdr:cNvSpPr/>
      </xdr:nvSpPr>
      <xdr:spPr>
        <a:xfrm>
          <a:off x="2963338" y="1333502"/>
          <a:ext cx="4042830" cy="1259416"/>
        </a:xfrm>
        <a:prstGeom prst="roundRect">
          <a:avLst>
            <a:gd name="adj" fmla="val 77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522826</xdr:colOff>
      <xdr:row>14</xdr:row>
      <xdr:rowOff>152406</xdr:rowOff>
    </xdr:from>
    <xdr:to>
      <xdr:col>11</xdr:col>
      <xdr:colOff>268822</xdr:colOff>
      <xdr:row>37</xdr:row>
      <xdr:rowOff>158749</xdr:rowOff>
    </xdr:to>
    <xdr:sp macro="" textlink="">
      <xdr:nvSpPr>
        <xdr:cNvPr id="5" name="Rectangle: Rounded Corners 4">
          <a:extLst>
            <a:ext uri="{FF2B5EF4-FFF2-40B4-BE49-F238E27FC236}">
              <a16:creationId xmlns:a16="http://schemas.microsoft.com/office/drawing/2014/main" id="{3A9EC9A2-EDBD-2758-0ACB-E2431F9867D4}"/>
            </a:ext>
          </a:extLst>
        </xdr:cNvPr>
        <xdr:cNvSpPr/>
      </xdr:nvSpPr>
      <xdr:spPr>
        <a:xfrm>
          <a:off x="2953969" y="2692406"/>
          <a:ext cx="4000496" cy="4179200"/>
        </a:xfrm>
        <a:prstGeom prst="roundRect">
          <a:avLst>
            <a:gd name="adj" fmla="val 77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347136</xdr:colOff>
      <xdr:row>7</xdr:row>
      <xdr:rowOff>82565</xdr:rowOff>
    </xdr:from>
    <xdr:to>
      <xdr:col>21</xdr:col>
      <xdr:colOff>84667</xdr:colOff>
      <xdr:row>22</xdr:row>
      <xdr:rowOff>90439</xdr:rowOff>
    </xdr:to>
    <xdr:sp macro="" textlink="">
      <xdr:nvSpPr>
        <xdr:cNvPr id="6" name="Rectangle: Rounded Corners 5">
          <a:extLst>
            <a:ext uri="{FF2B5EF4-FFF2-40B4-BE49-F238E27FC236}">
              <a16:creationId xmlns:a16="http://schemas.microsoft.com/office/drawing/2014/main" id="{55BE4666-DF35-F3CB-6A30-310A9FEE01FA}"/>
            </a:ext>
          </a:extLst>
        </xdr:cNvPr>
        <xdr:cNvSpPr/>
      </xdr:nvSpPr>
      <xdr:spPr>
        <a:xfrm>
          <a:off x="7099303" y="1341982"/>
          <a:ext cx="5875864" cy="2706624"/>
        </a:xfrm>
        <a:prstGeom prst="roundRect">
          <a:avLst>
            <a:gd name="adj" fmla="val 77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361947</xdr:colOff>
      <xdr:row>23</xdr:row>
      <xdr:rowOff>10583</xdr:rowOff>
    </xdr:from>
    <xdr:to>
      <xdr:col>21</xdr:col>
      <xdr:colOff>105833</xdr:colOff>
      <xdr:row>38</xdr:row>
      <xdr:rowOff>14826</xdr:rowOff>
    </xdr:to>
    <xdr:sp macro="" textlink="">
      <xdr:nvSpPr>
        <xdr:cNvPr id="7" name="Rectangle: Rounded Corners 6">
          <a:extLst>
            <a:ext uri="{FF2B5EF4-FFF2-40B4-BE49-F238E27FC236}">
              <a16:creationId xmlns:a16="http://schemas.microsoft.com/office/drawing/2014/main" id="{2AACE849-1426-B4F9-6DA9-52DF7CB1852E}"/>
            </a:ext>
          </a:extLst>
        </xdr:cNvPr>
        <xdr:cNvSpPr/>
      </xdr:nvSpPr>
      <xdr:spPr>
        <a:xfrm>
          <a:off x="7114114" y="4148666"/>
          <a:ext cx="5882219" cy="2702993"/>
        </a:xfrm>
        <a:prstGeom prst="roundRect">
          <a:avLst>
            <a:gd name="adj" fmla="val 77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182039</xdr:colOff>
      <xdr:row>7</xdr:row>
      <xdr:rowOff>86797</xdr:rowOff>
    </xdr:from>
    <xdr:to>
      <xdr:col>27</xdr:col>
      <xdr:colOff>306917</xdr:colOff>
      <xdr:row>38</xdr:row>
      <xdr:rowOff>21166</xdr:rowOff>
    </xdr:to>
    <xdr:sp macro="" textlink="">
      <xdr:nvSpPr>
        <xdr:cNvPr id="8" name="Rectangle: Rounded Corners 7">
          <a:extLst>
            <a:ext uri="{FF2B5EF4-FFF2-40B4-BE49-F238E27FC236}">
              <a16:creationId xmlns:a16="http://schemas.microsoft.com/office/drawing/2014/main" id="{F7855C7D-0382-343D-AB22-B7E95D11AB34}"/>
            </a:ext>
          </a:extLst>
        </xdr:cNvPr>
        <xdr:cNvSpPr/>
      </xdr:nvSpPr>
      <xdr:spPr>
        <a:xfrm>
          <a:off x="13072539" y="1346214"/>
          <a:ext cx="3807878" cy="5511785"/>
        </a:xfrm>
        <a:prstGeom prst="roundRect">
          <a:avLst>
            <a:gd name="adj" fmla="val 772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596911</xdr:colOff>
      <xdr:row>8</xdr:row>
      <xdr:rowOff>8470</xdr:rowOff>
    </xdr:from>
    <xdr:to>
      <xdr:col>6</xdr:col>
      <xdr:colOff>606478</xdr:colOff>
      <xdr:row>13</xdr:row>
      <xdr:rowOff>169334</xdr:rowOff>
    </xdr:to>
    <xdr:sp macro="" textlink="">
      <xdr:nvSpPr>
        <xdr:cNvPr id="9" name="Rectangle: Rounded Corners 8">
          <a:extLst>
            <a:ext uri="{FF2B5EF4-FFF2-40B4-BE49-F238E27FC236}">
              <a16:creationId xmlns:a16="http://schemas.microsoft.com/office/drawing/2014/main" id="{21042FDD-D8C7-55F5-71DF-AE14D991AE81}"/>
            </a:ext>
          </a:extLst>
        </xdr:cNvPr>
        <xdr:cNvSpPr/>
      </xdr:nvSpPr>
      <xdr:spPr>
        <a:xfrm>
          <a:off x="3052244" y="1447803"/>
          <a:ext cx="1237234" cy="1060448"/>
        </a:xfrm>
        <a:prstGeom prst="roundRect">
          <a:avLst>
            <a:gd name="adj" fmla="val 772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50813</xdr:colOff>
      <xdr:row>8</xdr:row>
      <xdr:rowOff>6358</xdr:rowOff>
    </xdr:from>
    <xdr:to>
      <xdr:col>9</xdr:col>
      <xdr:colOff>66730</xdr:colOff>
      <xdr:row>13</xdr:row>
      <xdr:rowOff>167222</xdr:rowOff>
    </xdr:to>
    <xdr:sp macro="" textlink="">
      <xdr:nvSpPr>
        <xdr:cNvPr id="10" name="Rectangle: Rounded Corners 9">
          <a:extLst>
            <a:ext uri="{FF2B5EF4-FFF2-40B4-BE49-F238E27FC236}">
              <a16:creationId xmlns:a16="http://schemas.microsoft.com/office/drawing/2014/main" id="{88B7EEE5-B854-C5B3-3861-CED79044A10D}"/>
            </a:ext>
          </a:extLst>
        </xdr:cNvPr>
        <xdr:cNvSpPr/>
      </xdr:nvSpPr>
      <xdr:spPr>
        <a:xfrm>
          <a:off x="4347646" y="1445691"/>
          <a:ext cx="1243584" cy="1060448"/>
        </a:xfrm>
        <a:prstGeom prst="roundRect">
          <a:avLst>
            <a:gd name="adj" fmla="val 772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137581</xdr:colOff>
      <xdr:row>8</xdr:row>
      <xdr:rowOff>14829</xdr:rowOff>
    </xdr:from>
    <xdr:to>
      <xdr:col>11</xdr:col>
      <xdr:colOff>156635</xdr:colOff>
      <xdr:row>13</xdr:row>
      <xdr:rowOff>175693</xdr:rowOff>
    </xdr:to>
    <xdr:sp macro="" textlink="">
      <xdr:nvSpPr>
        <xdr:cNvPr id="11" name="Rectangle: Rounded Corners 10">
          <a:extLst>
            <a:ext uri="{FF2B5EF4-FFF2-40B4-BE49-F238E27FC236}">
              <a16:creationId xmlns:a16="http://schemas.microsoft.com/office/drawing/2014/main" id="{27ABE37C-B74F-3E0B-A8EB-D73EA8535368}"/>
            </a:ext>
          </a:extLst>
        </xdr:cNvPr>
        <xdr:cNvSpPr/>
      </xdr:nvSpPr>
      <xdr:spPr>
        <a:xfrm>
          <a:off x="5662081" y="1454162"/>
          <a:ext cx="1246721" cy="1060448"/>
        </a:xfrm>
        <a:prstGeom prst="roundRect">
          <a:avLst>
            <a:gd name="adj" fmla="val 772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444502</xdr:colOff>
      <xdr:row>3</xdr:row>
      <xdr:rowOff>126998</xdr:rowOff>
    </xdr:from>
    <xdr:to>
      <xdr:col>12</xdr:col>
      <xdr:colOff>21171</xdr:colOff>
      <xdr:row>6</xdr:row>
      <xdr:rowOff>31749</xdr:rowOff>
    </xdr:to>
    <xdr:sp macro="" textlink="">
      <xdr:nvSpPr>
        <xdr:cNvPr id="12" name="TextBox 11">
          <a:extLst>
            <a:ext uri="{FF2B5EF4-FFF2-40B4-BE49-F238E27FC236}">
              <a16:creationId xmlns:a16="http://schemas.microsoft.com/office/drawing/2014/main" id="{607B4249-1D5A-5587-DC1D-8D07D706FEF0}"/>
            </a:ext>
          </a:extLst>
        </xdr:cNvPr>
        <xdr:cNvSpPr txBox="1"/>
      </xdr:nvSpPr>
      <xdr:spPr>
        <a:xfrm>
          <a:off x="2899835" y="666748"/>
          <a:ext cx="4487336"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385F7C"/>
              </a:solidFill>
            </a:rPr>
            <a:t>FURNITURE SALES OVERVIEW</a:t>
          </a:r>
          <a:endParaRPr lang="en-US" sz="2400">
            <a:solidFill>
              <a:srgbClr val="385F7C"/>
            </a:solidFill>
          </a:endParaRPr>
        </a:p>
      </xdr:txBody>
    </xdr:sp>
    <xdr:clientData/>
  </xdr:twoCellAnchor>
  <xdr:twoCellAnchor>
    <xdr:from>
      <xdr:col>4</xdr:col>
      <xdr:colOff>448737</xdr:colOff>
      <xdr:row>5</xdr:row>
      <xdr:rowOff>169331</xdr:rowOff>
    </xdr:from>
    <xdr:to>
      <xdr:col>14</xdr:col>
      <xdr:colOff>74083</xdr:colOff>
      <xdr:row>7</xdr:row>
      <xdr:rowOff>52916</xdr:rowOff>
    </xdr:to>
    <xdr:sp macro="" textlink="">
      <xdr:nvSpPr>
        <xdr:cNvPr id="13" name="TextBox 12">
          <a:extLst>
            <a:ext uri="{FF2B5EF4-FFF2-40B4-BE49-F238E27FC236}">
              <a16:creationId xmlns:a16="http://schemas.microsoft.com/office/drawing/2014/main" id="{B82066D0-445A-7BE4-9FB7-CAD9635B3644}"/>
            </a:ext>
          </a:extLst>
        </xdr:cNvPr>
        <xdr:cNvSpPr txBox="1"/>
      </xdr:nvSpPr>
      <xdr:spPr>
        <a:xfrm>
          <a:off x="2904070" y="1068914"/>
          <a:ext cx="5763680" cy="24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A</a:t>
          </a:r>
          <a:r>
            <a:rPr lang="en-US" sz="1200" baseline="0">
              <a:solidFill>
                <a:srgbClr val="385F7C"/>
              </a:solidFill>
            </a:rPr>
            <a:t> Summary of sales performance, shipping trends and regional distribution across the US</a:t>
          </a:r>
          <a:endParaRPr lang="en-US" sz="1200">
            <a:solidFill>
              <a:srgbClr val="385F7C"/>
            </a:solidFill>
          </a:endParaRPr>
        </a:p>
      </xdr:txBody>
    </xdr:sp>
    <xdr:clientData/>
  </xdr:twoCellAnchor>
  <xdr:twoCellAnchor>
    <xdr:from>
      <xdr:col>5</xdr:col>
      <xdr:colOff>315384</xdr:colOff>
      <xdr:row>8</xdr:row>
      <xdr:rowOff>2115</xdr:rowOff>
    </xdr:from>
    <xdr:to>
      <xdr:col>6</xdr:col>
      <xdr:colOff>328082</xdr:colOff>
      <xdr:row>9</xdr:row>
      <xdr:rowOff>71965</xdr:rowOff>
    </xdr:to>
    <xdr:sp macro="" textlink="">
      <xdr:nvSpPr>
        <xdr:cNvPr id="14" name="TextBox 13">
          <a:extLst>
            <a:ext uri="{FF2B5EF4-FFF2-40B4-BE49-F238E27FC236}">
              <a16:creationId xmlns:a16="http://schemas.microsoft.com/office/drawing/2014/main" id="{2E5B3BB0-A11D-82D6-D306-1F235205F7C7}"/>
            </a:ext>
          </a:extLst>
        </xdr:cNvPr>
        <xdr:cNvSpPr txBox="1"/>
      </xdr:nvSpPr>
      <xdr:spPr>
        <a:xfrm>
          <a:off x="3384551" y="1441448"/>
          <a:ext cx="626531" cy="249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Sales</a:t>
          </a:r>
        </a:p>
      </xdr:txBody>
    </xdr:sp>
    <xdr:clientData/>
  </xdr:twoCellAnchor>
  <xdr:twoCellAnchor>
    <xdr:from>
      <xdr:col>7</xdr:col>
      <xdr:colOff>361951</xdr:colOff>
      <xdr:row>8</xdr:row>
      <xdr:rowOff>2115</xdr:rowOff>
    </xdr:from>
    <xdr:to>
      <xdr:col>8</xdr:col>
      <xdr:colOff>374648</xdr:colOff>
      <xdr:row>9</xdr:row>
      <xdr:rowOff>71965</xdr:rowOff>
    </xdr:to>
    <xdr:sp macro="" textlink="">
      <xdr:nvSpPr>
        <xdr:cNvPr id="15" name="TextBox 14">
          <a:extLst>
            <a:ext uri="{FF2B5EF4-FFF2-40B4-BE49-F238E27FC236}">
              <a16:creationId xmlns:a16="http://schemas.microsoft.com/office/drawing/2014/main" id="{5BD14B0F-EF8E-1B2E-A52D-A0AFDDA991B5}"/>
            </a:ext>
          </a:extLst>
        </xdr:cNvPr>
        <xdr:cNvSpPr txBox="1"/>
      </xdr:nvSpPr>
      <xdr:spPr>
        <a:xfrm>
          <a:off x="4658784" y="1441448"/>
          <a:ext cx="626531" cy="249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Profit</a:t>
          </a:r>
        </a:p>
      </xdr:txBody>
    </xdr:sp>
    <xdr:clientData/>
  </xdr:twoCellAnchor>
  <xdr:twoCellAnchor>
    <xdr:from>
      <xdr:col>9</xdr:col>
      <xdr:colOff>440268</xdr:colOff>
      <xdr:row>8</xdr:row>
      <xdr:rowOff>2115</xdr:rowOff>
    </xdr:from>
    <xdr:to>
      <xdr:col>11</xdr:col>
      <xdr:colOff>21167</xdr:colOff>
      <xdr:row>9</xdr:row>
      <xdr:rowOff>95250</xdr:rowOff>
    </xdr:to>
    <xdr:sp macro="" textlink="">
      <xdr:nvSpPr>
        <xdr:cNvPr id="16" name="TextBox 15">
          <a:extLst>
            <a:ext uri="{FF2B5EF4-FFF2-40B4-BE49-F238E27FC236}">
              <a16:creationId xmlns:a16="http://schemas.microsoft.com/office/drawing/2014/main" id="{651BB1CE-41DE-E763-F1C6-5077206927F1}"/>
            </a:ext>
          </a:extLst>
        </xdr:cNvPr>
        <xdr:cNvSpPr txBox="1"/>
      </xdr:nvSpPr>
      <xdr:spPr>
        <a:xfrm>
          <a:off x="5964768" y="1441448"/>
          <a:ext cx="808566" cy="27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Quantity</a:t>
          </a:r>
        </a:p>
      </xdr:txBody>
    </xdr:sp>
    <xdr:clientData/>
  </xdr:twoCellAnchor>
  <xdr:twoCellAnchor>
    <xdr:from>
      <xdr:col>11</xdr:col>
      <xdr:colOff>539750</xdr:colOff>
      <xdr:row>7</xdr:row>
      <xdr:rowOff>150282</xdr:rowOff>
    </xdr:from>
    <xdr:to>
      <xdr:col>13</xdr:col>
      <xdr:colOff>264583</xdr:colOff>
      <xdr:row>9</xdr:row>
      <xdr:rowOff>48683</xdr:rowOff>
    </xdr:to>
    <xdr:sp macro="" textlink="">
      <xdr:nvSpPr>
        <xdr:cNvPr id="17" name="TextBox 16">
          <a:extLst>
            <a:ext uri="{FF2B5EF4-FFF2-40B4-BE49-F238E27FC236}">
              <a16:creationId xmlns:a16="http://schemas.microsoft.com/office/drawing/2014/main" id="{60619E09-7185-1C45-2E7F-5E3273AD2C40}"/>
            </a:ext>
          </a:extLst>
        </xdr:cNvPr>
        <xdr:cNvSpPr txBox="1"/>
      </xdr:nvSpPr>
      <xdr:spPr>
        <a:xfrm>
          <a:off x="7291917" y="1409699"/>
          <a:ext cx="952499" cy="25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Sales Trend</a:t>
          </a:r>
        </a:p>
      </xdr:txBody>
    </xdr:sp>
    <xdr:clientData/>
  </xdr:twoCellAnchor>
  <xdr:twoCellAnchor>
    <xdr:from>
      <xdr:col>11</xdr:col>
      <xdr:colOff>533402</xdr:colOff>
      <xdr:row>23</xdr:row>
      <xdr:rowOff>69850</xdr:rowOff>
    </xdr:from>
    <xdr:to>
      <xdr:col>14</xdr:col>
      <xdr:colOff>148169</xdr:colOff>
      <xdr:row>24</xdr:row>
      <xdr:rowOff>148167</xdr:rowOff>
    </xdr:to>
    <xdr:sp macro="" textlink="">
      <xdr:nvSpPr>
        <xdr:cNvPr id="18" name="TextBox 17">
          <a:extLst>
            <a:ext uri="{FF2B5EF4-FFF2-40B4-BE49-F238E27FC236}">
              <a16:creationId xmlns:a16="http://schemas.microsoft.com/office/drawing/2014/main" id="{9DD555BB-8A0C-F911-8837-3B5E649A1CAB}"/>
            </a:ext>
          </a:extLst>
        </xdr:cNvPr>
        <xdr:cNvSpPr txBox="1"/>
      </xdr:nvSpPr>
      <xdr:spPr>
        <a:xfrm>
          <a:off x="7285569" y="4207933"/>
          <a:ext cx="1456267" cy="25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Shipping Duration</a:t>
          </a:r>
        </a:p>
      </xdr:txBody>
    </xdr:sp>
    <xdr:clientData/>
  </xdr:twoCellAnchor>
  <xdr:twoCellAnchor>
    <xdr:from>
      <xdr:col>12</xdr:col>
      <xdr:colOff>61383</xdr:colOff>
      <xdr:row>38</xdr:row>
      <xdr:rowOff>169334</xdr:rowOff>
    </xdr:from>
    <xdr:to>
      <xdr:col>14</xdr:col>
      <xdr:colOff>289983</xdr:colOff>
      <xdr:row>40</xdr:row>
      <xdr:rowOff>67734</xdr:rowOff>
    </xdr:to>
    <xdr:sp macro="" textlink="">
      <xdr:nvSpPr>
        <xdr:cNvPr id="19" name="TextBox 18">
          <a:extLst>
            <a:ext uri="{FF2B5EF4-FFF2-40B4-BE49-F238E27FC236}">
              <a16:creationId xmlns:a16="http://schemas.microsoft.com/office/drawing/2014/main" id="{3BA54837-6B4F-0569-F118-E1C701EFC53A}"/>
            </a:ext>
          </a:extLst>
        </xdr:cNvPr>
        <xdr:cNvSpPr txBox="1"/>
      </xdr:nvSpPr>
      <xdr:spPr>
        <a:xfrm>
          <a:off x="7427383" y="7006167"/>
          <a:ext cx="1456267" cy="25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Shipping Duration</a:t>
          </a:r>
        </a:p>
      </xdr:txBody>
    </xdr:sp>
    <xdr:clientData/>
  </xdr:twoCellAnchor>
  <xdr:twoCellAnchor>
    <xdr:from>
      <xdr:col>21</xdr:col>
      <xdr:colOff>378883</xdr:colOff>
      <xdr:row>8</xdr:row>
      <xdr:rowOff>10583</xdr:rowOff>
    </xdr:from>
    <xdr:to>
      <xdr:col>24</xdr:col>
      <xdr:colOff>476250</xdr:colOff>
      <xdr:row>9</xdr:row>
      <xdr:rowOff>105833</xdr:rowOff>
    </xdr:to>
    <xdr:sp macro="" textlink="">
      <xdr:nvSpPr>
        <xdr:cNvPr id="20" name="TextBox 19">
          <a:extLst>
            <a:ext uri="{FF2B5EF4-FFF2-40B4-BE49-F238E27FC236}">
              <a16:creationId xmlns:a16="http://schemas.microsoft.com/office/drawing/2014/main" id="{CE224775-5642-CDC1-31D7-0FF5832BA1AB}"/>
            </a:ext>
          </a:extLst>
        </xdr:cNvPr>
        <xdr:cNvSpPr txBox="1"/>
      </xdr:nvSpPr>
      <xdr:spPr>
        <a:xfrm>
          <a:off x="13269383" y="1449916"/>
          <a:ext cx="19388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Sales Distribution by State</a:t>
          </a:r>
        </a:p>
      </xdr:txBody>
    </xdr:sp>
    <xdr:clientData/>
  </xdr:twoCellAnchor>
  <xdr:twoCellAnchor>
    <xdr:from>
      <xdr:col>31</xdr:col>
      <xdr:colOff>129117</xdr:colOff>
      <xdr:row>0</xdr:row>
      <xdr:rowOff>0</xdr:rowOff>
    </xdr:from>
    <xdr:to>
      <xdr:col>34</xdr:col>
      <xdr:colOff>226484</xdr:colOff>
      <xdr:row>0</xdr:row>
      <xdr:rowOff>0</xdr:rowOff>
    </xdr:to>
    <xdr:sp macro="" textlink="">
      <xdr:nvSpPr>
        <xdr:cNvPr id="21" name="TextBox 20">
          <a:extLst>
            <a:ext uri="{FF2B5EF4-FFF2-40B4-BE49-F238E27FC236}">
              <a16:creationId xmlns:a16="http://schemas.microsoft.com/office/drawing/2014/main" id="{2FE07183-CD5C-223C-A811-F5A814360F1B}"/>
            </a:ext>
          </a:extLst>
        </xdr:cNvPr>
        <xdr:cNvSpPr txBox="1"/>
      </xdr:nvSpPr>
      <xdr:spPr>
        <a:xfrm>
          <a:off x="19157950" y="0"/>
          <a:ext cx="193886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Sales Distribution by State</a:t>
          </a:r>
        </a:p>
      </xdr:txBody>
    </xdr:sp>
    <xdr:clientData/>
  </xdr:twoCellAnchor>
  <xdr:twoCellAnchor>
    <xdr:from>
      <xdr:col>5</xdr:col>
      <xdr:colOff>23280</xdr:colOff>
      <xdr:row>15</xdr:row>
      <xdr:rowOff>78316</xdr:rowOff>
    </xdr:from>
    <xdr:to>
      <xdr:col>7</xdr:col>
      <xdr:colOff>21168</xdr:colOff>
      <xdr:row>16</xdr:row>
      <xdr:rowOff>158750</xdr:rowOff>
    </xdr:to>
    <xdr:sp macro="" textlink="">
      <xdr:nvSpPr>
        <xdr:cNvPr id="22" name="TextBox 21">
          <a:extLst>
            <a:ext uri="{FF2B5EF4-FFF2-40B4-BE49-F238E27FC236}">
              <a16:creationId xmlns:a16="http://schemas.microsoft.com/office/drawing/2014/main" id="{363BF441-7CF5-91DB-6D81-575FDD84E340}"/>
            </a:ext>
          </a:extLst>
        </xdr:cNvPr>
        <xdr:cNvSpPr txBox="1"/>
      </xdr:nvSpPr>
      <xdr:spPr>
        <a:xfrm>
          <a:off x="3092447" y="2777066"/>
          <a:ext cx="1225554" cy="260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Shipping Mode</a:t>
          </a:r>
        </a:p>
      </xdr:txBody>
    </xdr:sp>
    <xdr:clientData/>
  </xdr:twoCellAnchor>
  <xdr:twoCellAnchor>
    <xdr:from>
      <xdr:col>5</xdr:col>
      <xdr:colOff>74083</xdr:colOff>
      <xdr:row>9</xdr:row>
      <xdr:rowOff>137582</xdr:rowOff>
    </xdr:from>
    <xdr:to>
      <xdr:col>6</xdr:col>
      <xdr:colOff>529165</xdr:colOff>
      <xdr:row>12</xdr:row>
      <xdr:rowOff>57150</xdr:rowOff>
    </xdr:to>
    <xdr:sp macro="" textlink="sales">
      <xdr:nvSpPr>
        <xdr:cNvPr id="23" name="TextBox 22">
          <a:extLst>
            <a:ext uri="{FF2B5EF4-FFF2-40B4-BE49-F238E27FC236}">
              <a16:creationId xmlns:a16="http://schemas.microsoft.com/office/drawing/2014/main" id="{5A9070B0-C769-2C2B-8346-A1149AE0E59F}"/>
            </a:ext>
          </a:extLst>
        </xdr:cNvPr>
        <xdr:cNvSpPr txBox="1"/>
      </xdr:nvSpPr>
      <xdr:spPr>
        <a:xfrm>
          <a:off x="3143250" y="1756832"/>
          <a:ext cx="1068915" cy="459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B122CD-1D30-461D-91B1-8B792C874C1F}" type="TxLink">
            <a:rPr lang="en-US" sz="1800" b="0" i="0" u="none" strike="noStrike">
              <a:solidFill>
                <a:srgbClr val="385F7C"/>
              </a:solidFill>
              <a:latin typeface="Calibri"/>
              <a:cs typeface="Calibri"/>
            </a:rPr>
            <a:t>$742.0K</a:t>
          </a:fld>
          <a:endParaRPr lang="en-US" sz="2000">
            <a:solidFill>
              <a:srgbClr val="385F7C"/>
            </a:solidFill>
          </a:endParaRPr>
        </a:p>
      </xdr:txBody>
    </xdr:sp>
    <xdr:clientData/>
  </xdr:twoCellAnchor>
  <xdr:twoCellAnchor>
    <xdr:from>
      <xdr:col>0</xdr:col>
      <xdr:colOff>0</xdr:colOff>
      <xdr:row>15</xdr:row>
      <xdr:rowOff>95249</xdr:rowOff>
    </xdr:from>
    <xdr:to>
      <xdr:col>0</xdr:col>
      <xdr:colOff>0</xdr:colOff>
      <xdr:row>17</xdr:row>
      <xdr:rowOff>8468</xdr:rowOff>
    </xdr:to>
    <xdr:sp macro="" textlink="sales">
      <xdr:nvSpPr>
        <xdr:cNvPr id="24" name="TextBox 23">
          <a:extLst>
            <a:ext uri="{FF2B5EF4-FFF2-40B4-BE49-F238E27FC236}">
              <a16:creationId xmlns:a16="http://schemas.microsoft.com/office/drawing/2014/main" id="{AEFA1D78-D29A-7A74-BAFA-B66DED0B444D}"/>
            </a:ext>
          </a:extLst>
        </xdr:cNvPr>
        <xdr:cNvSpPr txBox="1"/>
      </xdr:nvSpPr>
      <xdr:spPr>
        <a:xfrm>
          <a:off x="0" y="2793999"/>
          <a:ext cx="0" cy="27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B122CD-1D30-461D-91B1-8B792C874C1F}" type="TxLink">
            <a:rPr lang="en-US" sz="1100" b="0" i="0" u="none" strike="noStrike">
              <a:solidFill>
                <a:srgbClr val="000000"/>
              </a:solidFill>
              <a:latin typeface="Calibri"/>
              <a:cs typeface="Calibri"/>
            </a:rPr>
            <a:t>$742.0K</a:t>
          </a:fld>
          <a:endParaRPr lang="en-US" sz="1200">
            <a:solidFill>
              <a:srgbClr val="385F7C"/>
            </a:solidFill>
          </a:endParaRPr>
        </a:p>
      </xdr:txBody>
    </xdr:sp>
    <xdr:clientData/>
  </xdr:twoCellAnchor>
  <xdr:twoCellAnchor>
    <xdr:from>
      <xdr:col>9</xdr:col>
      <xdr:colOff>512235</xdr:colOff>
      <xdr:row>9</xdr:row>
      <xdr:rowOff>137582</xdr:rowOff>
    </xdr:from>
    <xdr:to>
      <xdr:col>11</xdr:col>
      <xdr:colOff>201084</xdr:colOff>
      <xdr:row>12</xdr:row>
      <xdr:rowOff>0</xdr:rowOff>
    </xdr:to>
    <xdr:sp macro="" textlink="quantity">
      <xdr:nvSpPr>
        <xdr:cNvPr id="25" name="TextBox 24">
          <a:extLst>
            <a:ext uri="{FF2B5EF4-FFF2-40B4-BE49-F238E27FC236}">
              <a16:creationId xmlns:a16="http://schemas.microsoft.com/office/drawing/2014/main" id="{ACC83947-423B-4646-CC10-38F10839625F}"/>
            </a:ext>
          </a:extLst>
        </xdr:cNvPr>
        <xdr:cNvSpPr txBox="1"/>
      </xdr:nvSpPr>
      <xdr:spPr>
        <a:xfrm>
          <a:off x="6036735" y="1756832"/>
          <a:ext cx="916516" cy="402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339A56-0FC2-429A-96F2-0D53AD5FF984}" type="TxLink">
            <a:rPr lang="en-US" sz="1800" b="0" i="0" u="none" strike="noStrike">
              <a:solidFill>
                <a:srgbClr val="385F7C"/>
              </a:solidFill>
              <a:latin typeface="Calibri"/>
              <a:cs typeface="Calibri"/>
            </a:rPr>
            <a:t>8.0K</a:t>
          </a:fld>
          <a:endParaRPr lang="en-US" sz="2000">
            <a:solidFill>
              <a:srgbClr val="385F7C"/>
            </a:solidFill>
          </a:endParaRPr>
        </a:p>
      </xdr:txBody>
    </xdr:sp>
    <xdr:clientData/>
  </xdr:twoCellAnchor>
  <xdr:twoCellAnchor>
    <xdr:from>
      <xdr:col>7</xdr:col>
      <xdr:colOff>209550</xdr:colOff>
      <xdr:row>9</xdr:row>
      <xdr:rowOff>137582</xdr:rowOff>
    </xdr:from>
    <xdr:to>
      <xdr:col>9</xdr:col>
      <xdr:colOff>10583</xdr:colOff>
      <xdr:row>12</xdr:row>
      <xdr:rowOff>59267</xdr:rowOff>
    </xdr:to>
    <xdr:sp macro="" textlink="profit">
      <xdr:nvSpPr>
        <xdr:cNvPr id="26" name="TextBox 25">
          <a:extLst>
            <a:ext uri="{FF2B5EF4-FFF2-40B4-BE49-F238E27FC236}">
              <a16:creationId xmlns:a16="http://schemas.microsoft.com/office/drawing/2014/main" id="{25F55775-A173-F0EA-9980-4FD20E8B3EC7}"/>
            </a:ext>
          </a:extLst>
        </xdr:cNvPr>
        <xdr:cNvSpPr txBox="1"/>
      </xdr:nvSpPr>
      <xdr:spPr>
        <a:xfrm>
          <a:off x="4506383" y="1756832"/>
          <a:ext cx="1028700" cy="461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5BD94-51FB-4BB2-8679-5FC1FFD1EDBB}" type="TxLink">
            <a:rPr lang="en-US" sz="1800" b="0" i="0" u="none" strike="noStrike">
              <a:solidFill>
                <a:srgbClr val="385F7C"/>
              </a:solidFill>
              <a:latin typeface="Calibri"/>
              <a:cs typeface="Calibri"/>
            </a:rPr>
            <a:t>$18.5K</a:t>
          </a:fld>
          <a:endParaRPr lang="en-US" sz="2000">
            <a:solidFill>
              <a:srgbClr val="385F7C"/>
            </a:solidFill>
          </a:endParaRPr>
        </a:p>
      </xdr:txBody>
    </xdr:sp>
    <xdr:clientData/>
  </xdr:twoCellAnchor>
  <xdr:twoCellAnchor>
    <xdr:from>
      <xdr:col>0</xdr:col>
      <xdr:colOff>0</xdr:colOff>
      <xdr:row>15</xdr:row>
      <xdr:rowOff>103716</xdr:rowOff>
    </xdr:from>
    <xdr:to>
      <xdr:col>0</xdr:col>
      <xdr:colOff>0</xdr:colOff>
      <xdr:row>18</xdr:row>
      <xdr:rowOff>23284</xdr:rowOff>
    </xdr:to>
    <xdr:sp macro="" textlink="salesyoy">
      <xdr:nvSpPr>
        <xdr:cNvPr id="28" name="TextBox 27">
          <a:extLst>
            <a:ext uri="{FF2B5EF4-FFF2-40B4-BE49-F238E27FC236}">
              <a16:creationId xmlns:a16="http://schemas.microsoft.com/office/drawing/2014/main" id="{793A9E01-E902-EB43-2E8B-2302C025B68E}"/>
            </a:ext>
          </a:extLst>
        </xdr:cNvPr>
        <xdr:cNvSpPr txBox="1"/>
      </xdr:nvSpPr>
      <xdr:spPr>
        <a:xfrm>
          <a:off x="0" y="2802466"/>
          <a:ext cx="0" cy="459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F90E15-7ED4-4626-B1AB-73A2E872153F}" type="TxLink">
            <a:rPr lang="en-US" sz="1800" b="0" i="0" u="none" strike="noStrike">
              <a:solidFill>
                <a:srgbClr val="000000"/>
              </a:solidFill>
              <a:latin typeface="Calibri"/>
              <a:cs typeface="Calibri"/>
            </a:rPr>
            <a:t>↑8% YoY</a:t>
          </a:fld>
          <a:endParaRPr lang="en-US" sz="3600">
            <a:solidFill>
              <a:srgbClr val="385F7C"/>
            </a:solidFill>
          </a:endParaRPr>
        </a:p>
      </xdr:txBody>
    </xdr:sp>
    <xdr:clientData/>
  </xdr:twoCellAnchor>
  <xdr:twoCellAnchor>
    <xdr:from>
      <xdr:col>7</xdr:col>
      <xdr:colOff>209550</xdr:colOff>
      <xdr:row>12</xdr:row>
      <xdr:rowOff>65615</xdr:rowOff>
    </xdr:from>
    <xdr:to>
      <xdr:col>9</xdr:col>
      <xdr:colOff>50798</xdr:colOff>
      <xdr:row>14</xdr:row>
      <xdr:rowOff>14817</xdr:rowOff>
    </xdr:to>
    <xdr:sp macro="" textlink="profityoy">
      <xdr:nvSpPr>
        <xdr:cNvPr id="29" name="TextBox 28">
          <a:extLst>
            <a:ext uri="{FF2B5EF4-FFF2-40B4-BE49-F238E27FC236}">
              <a16:creationId xmlns:a16="http://schemas.microsoft.com/office/drawing/2014/main" id="{C94F8EA8-FDED-D75F-BBE3-95C5711E2CA7}"/>
            </a:ext>
          </a:extLst>
        </xdr:cNvPr>
        <xdr:cNvSpPr txBox="1"/>
      </xdr:nvSpPr>
      <xdr:spPr>
        <a:xfrm>
          <a:off x="4506383" y="2224615"/>
          <a:ext cx="1068915" cy="30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278936-0577-430D-9A66-AC4DE2AA8F07}" type="TxLink">
            <a:rPr lang="en-US" sz="1100" b="0" i="0" u="none" strike="noStrike">
              <a:solidFill>
                <a:schemeClr val="accent3">
                  <a:lumMod val="50000"/>
                </a:schemeClr>
              </a:solidFill>
              <a:latin typeface="Calibri"/>
              <a:cs typeface="Calibri"/>
            </a:rPr>
            <a:t>↓57% YoY</a:t>
          </a:fld>
          <a:endParaRPr lang="en-US" sz="3600">
            <a:solidFill>
              <a:schemeClr val="accent3">
                <a:lumMod val="50000"/>
              </a:schemeClr>
            </a:solidFill>
          </a:endParaRPr>
        </a:p>
      </xdr:txBody>
    </xdr:sp>
    <xdr:clientData/>
  </xdr:twoCellAnchor>
  <xdr:twoCellAnchor>
    <xdr:from>
      <xdr:col>5</xdr:col>
      <xdr:colOff>192615</xdr:colOff>
      <xdr:row>12</xdr:row>
      <xdr:rowOff>65615</xdr:rowOff>
    </xdr:from>
    <xdr:to>
      <xdr:col>6</xdr:col>
      <xdr:colOff>550333</xdr:colOff>
      <xdr:row>14</xdr:row>
      <xdr:rowOff>74084</xdr:rowOff>
    </xdr:to>
    <xdr:sp macro="" textlink="salesyoy">
      <xdr:nvSpPr>
        <xdr:cNvPr id="30" name="TextBox 29">
          <a:extLst>
            <a:ext uri="{FF2B5EF4-FFF2-40B4-BE49-F238E27FC236}">
              <a16:creationId xmlns:a16="http://schemas.microsoft.com/office/drawing/2014/main" id="{454BA295-7941-6BDC-CEE5-51AC61FC755D}"/>
            </a:ext>
          </a:extLst>
        </xdr:cNvPr>
        <xdr:cNvSpPr txBox="1"/>
      </xdr:nvSpPr>
      <xdr:spPr>
        <a:xfrm>
          <a:off x="3261782" y="2224615"/>
          <a:ext cx="971551" cy="36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B58668-6E28-41B2-8C74-471031C34A4C}" type="TxLink">
            <a:rPr lang="en-US" sz="1100" b="0" i="0" u="none" strike="noStrike">
              <a:solidFill>
                <a:schemeClr val="accent3">
                  <a:lumMod val="50000"/>
                </a:schemeClr>
              </a:solidFill>
              <a:latin typeface="Calibri"/>
              <a:cs typeface="Calibri"/>
            </a:rPr>
            <a:t>↑8% YoY</a:t>
          </a:fld>
          <a:endParaRPr lang="en-US" sz="3600">
            <a:solidFill>
              <a:schemeClr val="accent3">
                <a:lumMod val="50000"/>
              </a:schemeClr>
            </a:solidFill>
          </a:endParaRPr>
        </a:p>
      </xdr:txBody>
    </xdr:sp>
    <xdr:clientData/>
  </xdr:twoCellAnchor>
  <xdr:twoCellAnchor>
    <xdr:from>
      <xdr:col>9</xdr:col>
      <xdr:colOff>376766</xdr:colOff>
      <xdr:row>12</xdr:row>
      <xdr:rowOff>65615</xdr:rowOff>
    </xdr:from>
    <xdr:to>
      <xdr:col>11</xdr:col>
      <xdr:colOff>31751</xdr:colOff>
      <xdr:row>14</xdr:row>
      <xdr:rowOff>16934</xdr:rowOff>
    </xdr:to>
    <xdr:sp macro="" textlink="quantityyoy">
      <xdr:nvSpPr>
        <xdr:cNvPr id="31" name="TextBox 30">
          <a:extLst>
            <a:ext uri="{FF2B5EF4-FFF2-40B4-BE49-F238E27FC236}">
              <a16:creationId xmlns:a16="http://schemas.microsoft.com/office/drawing/2014/main" id="{992614D9-47B2-4164-F2EE-E6F5B4BCE765}"/>
            </a:ext>
          </a:extLst>
        </xdr:cNvPr>
        <xdr:cNvSpPr txBox="1"/>
      </xdr:nvSpPr>
      <xdr:spPr>
        <a:xfrm>
          <a:off x="5901266" y="2224615"/>
          <a:ext cx="882652" cy="31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F32B6-32C4-4103-B91C-C3EFDD394A72}" type="TxLink">
            <a:rPr lang="en-US" sz="1100" b="0" i="0" u="none" strike="noStrike">
              <a:solidFill>
                <a:schemeClr val="accent3">
                  <a:lumMod val="50000"/>
                </a:schemeClr>
              </a:solidFill>
              <a:latin typeface="Calibri"/>
              <a:cs typeface="Calibri"/>
            </a:rPr>
            <a:t>↑11% YoY</a:t>
          </a:fld>
          <a:endParaRPr lang="en-US" sz="3600">
            <a:solidFill>
              <a:schemeClr val="accent3">
                <a:lumMod val="50000"/>
              </a:schemeClr>
            </a:solidFill>
          </a:endParaRPr>
        </a:p>
      </xdr:txBody>
    </xdr:sp>
    <xdr:clientData/>
  </xdr:twoCellAnchor>
  <xdr:twoCellAnchor>
    <xdr:from>
      <xdr:col>11</xdr:col>
      <xdr:colOff>508001</xdr:colOff>
      <xdr:row>9</xdr:row>
      <xdr:rowOff>52917</xdr:rowOff>
    </xdr:from>
    <xdr:to>
      <xdr:col>20</xdr:col>
      <xdr:colOff>518583</xdr:colOff>
      <xdr:row>21</xdr:row>
      <xdr:rowOff>150283</xdr:rowOff>
    </xdr:to>
    <xdr:graphicFrame macro="">
      <xdr:nvGraphicFramePr>
        <xdr:cNvPr id="32" name="Chart 31">
          <a:extLst>
            <a:ext uri="{FF2B5EF4-FFF2-40B4-BE49-F238E27FC236}">
              <a16:creationId xmlns:a16="http://schemas.microsoft.com/office/drawing/2014/main" id="{E2059DDC-F845-44A0-9F82-4560B867D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514350</xdr:colOff>
      <xdr:row>8</xdr:row>
      <xdr:rowOff>175681</xdr:rowOff>
    </xdr:from>
    <xdr:to>
      <xdr:col>16</xdr:col>
      <xdr:colOff>391583</xdr:colOff>
      <xdr:row>10</xdr:row>
      <xdr:rowOff>116416</xdr:rowOff>
    </xdr:to>
    <xdr:sp macro="" textlink="salestrend">
      <xdr:nvSpPr>
        <xdr:cNvPr id="33" name="TextBox 32">
          <a:extLst>
            <a:ext uri="{FF2B5EF4-FFF2-40B4-BE49-F238E27FC236}">
              <a16:creationId xmlns:a16="http://schemas.microsoft.com/office/drawing/2014/main" id="{879072C1-8281-461B-D8D3-E2190C31796A}"/>
            </a:ext>
          </a:extLst>
        </xdr:cNvPr>
        <xdr:cNvSpPr txBox="1"/>
      </xdr:nvSpPr>
      <xdr:spPr>
        <a:xfrm>
          <a:off x="7266517" y="1615014"/>
          <a:ext cx="2946399" cy="30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BB2CB0-9984-4200-90E4-84949EE2E5CC}" type="TxLink">
            <a:rPr lang="en-US" sz="1100" b="0" i="0" u="none" strike="noStrike">
              <a:solidFill>
                <a:srgbClr val="000000"/>
              </a:solidFill>
              <a:latin typeface="Calibri"/>
              <a:cs typeface="Calibri"/>
            </a:rPr>
            <a:t>Peak Sales Month: Dec with $50,051 in sales.</a:t>
          </a:fld>
          <a:endParaRPr lang="en-US" sz="1200">
            <a:solidFill>
              <a:srgbClr val="385F7C"/>
            </a:solidFill>
          </a:endParaRPr>
        </a:p>
      </xdr:txBody>
    </xdr:sp>
    <xdr:clientData/>
  </xdr:twoCellAnchor>
  <xdr:twoCellAnchor>
    <xdr:from>
      <xdr:col>11</xdr:col>
      <xdr:colOff>486833</xdr:colOff>
      <xdr:row>24</xdr:row>
      <xdr:rowOff>116416</xdr:rowOff>
    </xdr:from>
    <xdr:to>
      <xdr:col>21</xdr:col>
      <xdr:colOff>10583</xdr:colOff>
      <xdr:row>37</xdr:row>
      <xdr:rowOff>31750</xdr:rowOff>
    </xdr:to>
    <xdr:graphicFrame macro="">
      <xdr:nvGraphicFramePr>
        <xdr:cNvPr id="34" name="Chart 33">
          <a:extLst>
            <a:ext uri="{FF2B5EF4-FFF2-40B4-BE49-F238E27FC236}">
              <a16:creationId xmlns:a16="http://schemas.microsoft.com/office/drawing/2014/main" id="{864E512A-3D7E-4834-9B6D-D072793F6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529167</xdr:colOff>
      <xdr:row>24</xdr:row>
      <xdr:rowOff>84664</xdr:rowOff>
    </xdr:from>
    <xdr:to>
      <xdr:col>16</xdr:col>
      <xdr:colOff>406400</xdr:colOff>
      <xdr:row>26</xdr:row>
      <xdr:rowOff>25400</xdr:rowOff>
    </xdr:to>
    <xdr:sp macro="" textlink="mostorders">
      <xdr:nvSpPr>
        <xdr:cNvPr id="35" name="TextBox 34">
          <a:extLst>
            <a:ext uri="{FF2B5EF4-FFF2-40B4-BE49-F238E27FC236}">
              <a16:creationId xmlns:a16="http://schemas.microsoft.com/office/drawing/2014/main" id="{E2084F86-9D97-1DCB-6607-5232B1F4D8DF}"/>
            </a:ext>
          </a:extLst>
        </xdr:cNvPr>
        <xdr:cNvSpPr txBox="1"/>
      </xdr:nvSpPr>
      <xdr:spPr>
        <a:xfrm>
          <a:off x="7281334" y="4402664"/>
          <a:ext cx="2946399" cy="30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97763D-B4CC-4AB3-BC0D-E206B91725C6}" type="TxLink">
            <a:rPr lang="en-US" sz="1100" b="0" i="0" u="none" strike="noStrike">
              <a:solidFill>
                <a:srgbClr val="000000"/>
              </a:solidFill>
              <a:latin typeface="Calibri"/>
              <a:cs typeface="Calibri"/>
            </a:rPr>
            <a:t>Most orders (28%) were delivered in 4- days.</a:t>
          </a:fld>
          <a:endParaRPr lang="en-US" sz="1200">
            <a:solidFill>
              <a:srgbClr val="385F7C"/>
            </a:solidFill>
          </a:endParaRPr>
        </a:p>
      </xdr:txBody>
    </xdr:sp>
    <xdr:clientData/>
  </xdr:twoCellAnchor>
  <xdr:twoCellAnchor>
    <xdr:from>
      <xdr:col>21</xdr:col>
      <xdr:colOff>264587</xdr:colOff>
      <xdr:row>10</xdr:row>
      <xdr:rowOff>63499</xdr:rowOff>
    </xdr:from>
    <xdr:to>
      <xdr:col>27</xdr:col>
      <xdr:colOff>232837</xdr:colOff>
      <xdr:row>22</xdr:row>
      <xdr:rowOff>42332</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D82ED20C-16F4-46D7-BA0E-0B39640743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155087" y="1862666"/>
              <a:ext cx="3651250" cy="2137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253997</xdr:colOff>
      <xdr:row>24</xdr:row>
      <xdr:rowOff>52914</xdr:rowOff>
    </xdr:from>
    <xdr:to>
      <xdr:col>27</xdr:col>
      <xdr:colOff>423330</xdr:colOff>
      <xdr:row>38</xdr:row>
      <xdr:rowOff>116416</xdr:rowOff>
    </xdr:to>
    <xdr:graphicFrame macro="">
      <xdr:nvGraphicFramePr>
        <xdr:cNvPr id="37" name="Chart 36">
          <a:extLst>
            <a:ext uri="{FF2B5EF4-FFF2-40B4-BE49-F238E27FC236}">
              <a16:creationId xmlns:a16="http://schemas.microsoft.com/office/drawing/2014/main" id="{97314424-3831-4E22-AE70-1BA954667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311151</xdr:colOff>
      <xdr:row>22</xdr:row>
      <xdr:rowOff>169334</xdr:rowOff>
    </xdr:from>
    <xdr:to>
      <xdr:col>27</xdr:col>
      <xdr:colOff>105833</xdr:colOff>
      <xdr:row>24</xdr:row>
      <xdr:rowOff>169333</xdr:rowOff>
    </xdr:to>
    <xdr:sp macro="" textlink="topsellingcity">
      <xdr:nvSpPr>
        <xdr:cNvPr id="38" name="TextBox 37">
          <a:extLst>
            <a:ext uri="{FF2B5EF4-FFF2-40B4-BE49-F238E27FC236}">
              <a16:creationId xmlns:a16="http://schemas.microsoft.com/office/drawing/2014/main" id="{5B2009A3-40CC-F5D7-98E8-1A1BC3C45663}"/>
            </a:ext>
          </a:extLst>
        </xdr:cNvPr>
        <xdr:cNvSpPr txBox="1"/>
      </xdr:nvSpPr>
      <xdr:spPr>
        <a:xfrm>
          <a:off x="13201651" y="4127501"/>
          <a:ext cx="3477682"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E2AFBC-0557-43B4-BADC-1A274EB46B79}" type="TxLink">
            <a:rPr lang="en-US" sz="1200">
              <a:solidFill>
                <a:srgbClr val="385F7C"/>
              </a:solidFill>
              <a:latin typeface="+mn-lt"/>
              <a:ea typeface="+mn-ea"/>
              <a:cs typeface="+mn-cs"/>
            </a:rPr>
            <a:pPr marL="0" indent="0"/>
            <a:t>Top Selling City: New York City with $75,691 in sales.</a:t>
          </a:fld>
          <a:endParaRPr lang="en-US" sz="1200">
            <a:solidFill>
              <a:srgbClr val="385F7C"/>
            </a:solidFill>
            <a:latin typeface="+mn-lt"/>
            <a:ea typeface="+mn-ea"/>
            <a:cs typeface="+mn-cs"/>
          </a:endParaRPr>
        </a:p>
      </xdr:txBody>
    </xdr:sp>
    <xdr:clientData/>
  </xdr:twoCellAnchor>
  <xdr:twoCellAnchor>
    <xdr:from>
      <xdr:col>4</xdr:col>
      <xdr:colOff>560918</xdr:colOff>
      <xdr:row>17</xdr:row>
      <xdr:rowOff>42333</xdr:rowOff>
    </xdr:from>
    <xdr:to>
      <xdr:col>11</xdr:col>
      <xdr:colOff>190500</xdr:colOff>
      <xdr:row>27</xdr:row>
      <xdr:rowOff>127000</xdr:rowOff>
    </xdr:to>
    <xdr:graphicFrame macro="">
      <xdr:nvGraphicFramePr>
        <xdr:cNvPr id="39" name="Chart 38">
          <a:extLst>
            <a:ext uri="{FF2B5EF4-FFF2-40B4-BE49-F238E27FC236}">
              <a16:creationId xmlns:a16="http://schemas.microsoft.com/office/drawing/2014/main" id="{4BEB7080-8B50-4145-A48C-68665840A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232836</xdr:colOff>
      <xdr:row>19</xdr:row>
      <xdr:rowOff>42334</xdr:rowOff>
    </xdr:from>
    <xdr:to>
      <xdr:col>8</xdr:col>
      <xdr:colOff>179919</xdr:colOff>
      <xdr:row>25</xdr:row>
      <xdr:rowOff>127001</xdr:rowOff>
    </xdr:to>
    <xdr:sp macro="" textlink="">
      <xdr:nvSpPr>
        <xdr:cNvPr id="40" name="Oval 39">
          <a:extLst>
            <a:ext uri="{FF2B5EF4-FFF2-40B4-BE49-F238E27FC236}">
              <a16:creationId xmlns:a16="http://schemas.microsoft.com/office/drawing/2014/main" id="{BC5AFBAA-53C9-49DF-BC6E-C9568710C250}"/>
            </a:ext>
          </a:extLst>
        </xdr:cNvPr>
        <xdr:cNvSpPr/>
      </xdr:nvSpPr>
      <xdr:spPr>
        <a:xfrm>
          <a:off x="3915836" y="3460751"/>
          <a:ext cx="1174750" cy="1164167"/>
        </a:xfrm>
        <a:prstGeom prst="ellipse">
          <a:avLst/>
        </a:prstGeom>
        <a:solidFill>
          <a:srgbClr val="CCD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397930</xdr:colOff>
      <xdr:row>21</xdr:row>
      <xdr:rowOff>103718</xdr:rowOff>
    </xdr:from>
    <xdr:to>
      <xdr:col>8</xdr:col>
      <xdr:colOff>84667</xdr:colOff>
      <xdr:row>23</xdr:row>
      <xdr:rowOff>10585</xdr:rowOff>
    </xdr:to>
    <xdr:sp macro="" textlink="">
      <xdr:nvSpPr>
        <xdr:cNvPr id="41" name="TextBox 40">
          <a:extLst>
            <a:ext uri="{FF2B5EF4-FFF2-40B4-BE49-F238E27FC236}">
              <a16:creationId xmlns:a16="http://schemas.microsoft.com/office/drawing/2014/main" id="{73A409D6-DF1B-61EC-D598-1B31228ED7D3}"/>
            </a:ext>
          </a:extLst>
        </xdr:cNvPr>
        <xdr:cNvSpPr txBox="1"/>
      </xdr:nvSpPr>
      <xdr:spPr>
        <a:xfrm>
          <a:off x="4080930" y="3881968"/>
          <a:ext cx="9144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385F7C"/>
              </a:solidFill>
            </a:rPr>
            <a:t>Ship</a:t>
          </a:r>
          <a:r>
            <a:rPr lang="en-US" sz="1200" baseline="0">
              <a:solidFill>
                <a:srgbClr val="385F7C"/>
              </a:solidFill>
            </a:rPr>
            <a:t> Mode</a:t>
          </a:r>
          <a:endParaRPr lang="en-US" sz="1200">
            <a:solidFill>
              <a:srgbClr val="385F7C"/>
            </a:solidFill>
          </a:endParaRPr>
        </a:p>
      </xdr:txBody>
    </xdr:sp>
    <xdr:clientData/>
  </xdr:twoCellAnchor>
  <xdr:twoCellAnchor>
    <xdr:from>
      <xdr:col>5</xdr:col>
      <xdr:colOff>4234</xdr:colOff>
      <xdr:row>16</xdr:row>
      <xdr:rowOff>88896</xdr:rowOff>
    </xdr:from>
    <xdr:to>
      <xdr:col>9</xdr:col>
      <xdr:colOff>495300</xdr:colOff>
      <xdr:row>18</xdr:row>
      <xdr:rowOff>29632</xdr:rowOff>
    </xdr:to>
    <xdr:sp macro="" textlink="shipmode">
      <xdr:nvSpPr>
        <xdr:cNvPr id="42" name="TextBox 41">
          <a:extLst>
            <a:ext uri="{FF2B5EF4-FFF2-40B4-BE49-F238E27FC236}">
              <a16:creationId xmlns:a16="http://schemas.microsoft.com/office/drawing/2014/main" id="{B062228C-3B13-ACF3-6684-C3721FD3DD49}"/>
            </a:ext>
          </a:extLst>
        </xdr:cNvPr>
        <xdr:cNvSpPr txBox="1"/>
      </xdr:nvSpPr>
      <xdr:spPr>
        <a:xfrm>
          <a:off x="3073401" y="2967563"/>
          <a:ext cx="2946399" cy="30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94D25F-4D7B-4D72-8C29-E480343F5EDA}" type="TxLink">
            <a:rPr lang="en-US" sz="1100" b="0" i="0" u="none" strike="noStrike">
              <a:solidFill>
                <a:srgbClr val="000000"/>
              </a:solidFill>
              <a:latin typeface="Calibri"/>
              <a:cs typeface="Calibri"/>
            </a:rPr>
            <a:t>Most Orders Used Standard Class (59%)</a:t>
          </a:fld>
          <a:endParaRPr lang="en-US" sz="1200">
            <a:solidFill>
              <a:srgbClr val="385F7C"/>
            </a:solidFill>
          </a:endParaRPr>
        </a:p>
      </xdr:txBody>
    </xdr:sp>
    <xdr:clientData/>
  </xdr:twoCellAnchor>
  <xdr:twoCellAnchor>
    <xdr:from>
      <xdr:col>4</xdr:col>
      <xdr:colOff>326571</xdr:colOff>
      <xdr:row>26</xdr:row>
      <xdr:rowOff>172351</xdr:rowOff>
    </xdr:from>
    <xdr:to>
      <xdr:col>11</xdr:col>
      <xdr:colOff>199568</xdr:colOff>
      <xdr:row>38</xdr:row>
      <xdr:rowOff>72563</xdr:rowOff>
    </xdr:to>
    <xdr:graphicFrame macro="">
      <xdr:nvGraphicFramePr>
        <xdr:cNvPr id="44" name="Chart 43">
          <a:extLst>
            <a:ext uri="{FF2B5EF4-FFF2-40B4-BE49-F238E27FC236}">
              <a16:creationId xmlns:a16="http://schemas.microsoft.com/office/drawing/2014/main" id="{EF0F320F-34A1-4D62-8519-AEC8FC025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156634</xdr:colOff>
      <xdr:row>17</xdr:row>
      <xdr:rowOff>59867</xdr:rowOff>
    </xdr:from>
    <xdr:to>
      <xdr:col>10</xdr:col>
      <xdr:colOff>39914</xdr:colOff>
      <xdr:row>19</xdr:row>
      <xdr:rowOff>603</xdr:rowOff>
    </xdr:to>
    <xdr:sp macro="" textlink="shipmode">
      <xdr:nvSpPr>
        <xdr:cNvPr id="45" name="TextBox 44">
          <a:extLst>
            <a:ext uri="{FF2B5EF4-FFF2-40B4-BE49-F238E27FC236}">
              <a16:creationId xmlns:a16="http://schemas.microsoft.com/office/drawing/2014/main" id="{616324F6-BE38-79DF-7564-CEC4E56B49C6}"/>
            </a:ext>
          </a:extLst>
        </xdr:cNvPr>
        <xdr:cNvSpPr txBox="1"/>
      </xdr:nvSpPr>
      <xdr:spPr>
        <a:xfrm>
          <a:off x="3195563" y="3144153"/>
          <a:ext cx="2922208" cy="30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94D25F-4D7B-4D72-8C29-E480343F5EDA}" type="TxLink">
            <a:rPr lang="en-US" sz="1100" b="0" i="0" u="none" strike="noStrike">
              <a:solidFill>
                <a:srgbClr val="000000"/>
              </a:solidFill>
              <a:latin typeface="Calibri"/>
              <a:cs typeface="Calibri"/>
            </a:rPr>
            <a:t>Most Orders Used Standard Class (59%)</a:t>
          </a:fld>
          <a:endParaRPr lang="en-US" sz="1200">
            <a:solidFill>
              <a:srgbClr val="385F7C"/>
            </a:solidFill>
          </a:endParaRPr>
        </a:p>
      </xdr:txBody>
    </xdr:sp>
    <xdr:clientData/>
  </xdr:twoCellAnchor>
  <xdr:twoCellAnchor>
    <xdr:from>
      <xdr:col>5</xdr:col>
      <xdr:colOff>91321</xdr:colOff>
      <xdr:row>26</xdr:row>
      <xdr:rowOff>130624</xdr:rowOff>
    </xdr:from>
    <xdr:to>
      <xdr:col>9</xdr:col>
      <xdr:colOff>582387</xdr:colOff>
      <xdr:row>28</xdr:row>
      <xdr:rowOff>71360</xdr:rowOff>
    </xdr:to>
    <xdr:sp macro="" textlink="categorysales">
      <xdr:nvSpPr>
        <xdr:cNvPr id="46" name="TextBox 45">
          <a:extLst>
            <a:ext uri="{FF2B5EF4-FFF2-40B4-BE49-F238E27FC236}">
              <a16:creationId xmlns:a16="http://schemas.microsoft.com/office/drawing/2014/main" id="{FD96D611-8E2D-031B-641C-F8AA7EB5DC51}"/>
            </a:ext>
          </a:extLst>
        </xdr:cNvPr>
        <xdr:cNvSpPr txBox="1"/>
      </xdr:nvSpPr>
      <xdr:spPr>
        <a:xfrm>
          <a:off x="3130250" y="4847767"/>
          <a:ext cx="2922208" cy="30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C78841-27A5-443B-9D71-07771D43842B}" type="TxLink">
            <a:rPr lang="en-US" sz="1100" b="0" i="0" u="none" strike="noStrike">
              <a:solidFill>
                <a:srgbClr val="000000"/>
              </a:solidFill>
              <a:latin typeface="Calibri"/>
              <a:cs typeface="Calibri"/>
            </a:rPr>
            <a:t>Highest Sales from category: Chairs ($328,449)</a:t>
          </a:fld>
          <a:endParaRPr lang="en-US" sz="1200">
            <a:solidFill>
              <a:srgbClr val="385F7C"/>
            </a:solidFill>
          </a:endParaRPr>
        </a:p>
      </xdr:txBody>
    </xdr:sp>
    <xdr:clientData/>
  </xdr:twoCellAnchor>
  <xdr:twoCellAnchor editAs="oneCell">
    <xdr:from>
      <xdr:col>22</xdr:col>
      <xdr:colOff>390071</xdr:colOff>
      <xdr:row>4</xdr:row>
      <xdr:rowOff>83458</xdr:rowOff>
    </xdr:from>
    <xdr:to>
      <xdr:col>27</xdr:col>
      <xdr:colOff>204106</xdr:colOff>
      <xdr:row>6</xdr:row>
      <xdr:rowOff>145143</xdr:rowOff>
    </xdr:to>
    <mc:AlternateContent xmlns:mc="http://schemas.openxmlformats.org/markup-compatibility/2006">
      <mc:Choice xmlns:a14="http://schemas.microsoft.com/office/drawing/2010/main" Requires="a14">
        <xdr:graphicFrame macro="">
          <xdr:nvGraphicFramePr>
            <xdr:cNvPr id="47" name="Segment">
              <a:extLst>
                <a:ext uri="{FF2B5EF4-FFF2-40B4-BE49-F238E27FC236}">
                  <a16:creationId xmlns:a16="http://schemas.microsoft.com/office/drawing/2014/main" id="{82BDD5D6-152B-4ABA-0D84-27242349B9C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761357" y="809172"/>
              <a:ext cx="2852963" cy="424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208643</xdr:colOff>
      <xdr:row>4</xdr:row>
      <xdr:rowOff>87994</xdr:rowOff>
    </xdr:from>
    <xdr:to>
      <xdr:col>22</xdr:col>
      <xdr:colOff>344715</xdr:colOff>
      <xdr:row>6</xdr:row>
      <xdr:rowOff>145761</xdr:rowOff>
    </xdr:to>
    <mc:AlternateContent xmlns:mc="http://schemas.openxmlformats.org/markup-compatibility/2006">
      <mc:Choice xmlns:a14="http://schemas.microsoft.com/office/drawing/2010/main" Requires="a14">
        <xdr:graphicFrame macro="">
          <xdr:nvGraphicFramePr>
            <xdr:cNvPr id="48" name="Region">
              <a:extLst>
                <a:ext uri="{FF2B5EF4-FFF2-40B4-BE49-F238E27FC236}">
                  <a16:creationId xmlns:a16="http://schemas.microsoft.com/office/drawing/2014/main" id="{FB08A143-973D-CD27-1B40-E92337581F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33214" y="813708"/>
              <a:ext cx="3782787" cy="42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77252071759" createdVersion="8" refreshedVersion="8" minRefreshableVersion="3" recordCount="2121" xr:uid="{0B91BEA5-2641-4595-A085-90CBFF311EF1}">
  <cacheSource type="worksheet">
    <worksheetSource name="Furniture_Sales"/>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81603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s v="Furniture"/>
    <x v="0"/>
    <s v="Bush Somerset Collection Bookcase"/>
    <n v="261.95999999999998"/>
    <n v="2"/>
    <n v="41.913600000000002"/>
    <x v="0"/>
    <x v="0"/>
  </r>
  <r>
    <s v="CA-2016-152156"/>
    <x v="0"/>
    <d v="2016-11-11T00:00:00"/>
    <x v="0"/>
    <s v="CG-12520"/>
    <s v="Claire Gute"/>
    <x v="0"/>
    <s v="United States"/>
    <x v="0"/>
    <x v="0"/>
    <x v="0"/>
    <s v="FUR-CH-10000454"/>
    <s v="Furniture"/>
    <x v="1"/>
    <s v="Hon Deluxe Fabric Upholstered Stacking Chairs, Rounded Back"/>
    <n v="731.94"/>
    <n v="3"/>
    <n v="219.58199999999999"/>
    <x v="0"/>
    <x v="0"/>
  </r>
  <r>
    <s v="US-2015-108966"/>
    <x v="1"/>
    <d v="2015-10-18T00:00:00"/>
    <x v="1"/>
    <s v="SO-20335"/>
    <s v="Sean O'Donnell"/>
    <x v="0"/>
    <s v="United States"/>
    <x v="1"/>
    <x v="1"/>
    <x v="0"/>
    <s v="FUR-TA-10000577"/>
    <s v="Furniture"/>
    <x v="2"/>
    <s v="Bretford CR4500 Series Slim Rectangular Table"/>
    <n v="957.57749999999999"/>
    <n v="5"/>
    <n v="-383.03100000000001"/>
    <x v="1"/>
    <x v="1"/>
  </r>
  <r>
    <s v="CA-2014-115812"/>
    <x v="2"/>
    <d v="2014-06-14T00:00:00"/>
    <x v="1"/>
    <s v="BH-11710"/>
    <s v="Brosina Hoffman"/>
    <x v="0"/>
    <s v="United States"/>
    <x v="2"/>
    <x v="2"/>
    <x v="1"/>
    <s v="FUR-FU-10001487"/>
    <s v="Furniture"/>
    <x v="3"/>
    <s v="Eldon Expressions Wood and Plastic Desk Accessories, Cherry Wood"/>
    <n v="48.86"/>
    <n v="7"/>
    <n v="14.1694"/>
    <x v="2"/>
    <x v="2"/>
  </r>
  <r>
    <s v="CA-2014-115812"/>
    <x v="2"/>
    <d v="2014-06-14T00:00:00"/>
    <x v="1"/>
    <s v="BH-11710"/>
    <s v="Brosina Hoffman"/>
    <x v="0"/>
    <s v="United States"/>
    <x v="2"/>
    <x v="2"/>
    <x v="1"/>
    <s v="FUR-TA-10001539"/>
    <s v="Furniture"/>
    <x v="2"/>
    <s v="Chromcraft Rectangular Conference Tables"/>
    <n v="1706.184"/>
    <n v="9"/>
    <n v="85.309200000000004"/>
    <x v="2"/>
    <x v="2"/>
  </r>
  <r>
    <s v="US-2017-156909"/>
    <x v="3"/>
    <d v="2017-07-18T00:00:00"/>
    <x v="0"/>
    <s v="SF-20065"/>
    <s v="Sandra Flanagan"/>
    <x v="0"/>
    <s v="United States"/>
    <x v="3"/>
    <x v="3"/>
    <x v="2"/>
    <s v="FUR-CH-10002774"/>
    <s v="Furniture"/>
    <x v="1"/>
    <s v="Global Deluxe Stacking Chair, Gray"/>
    <n v="71.372"/>
    <n v="2"/>
    <n v="-1.0196000000000001"/>
    <x v="3"/>
    <x v="3"/>
  </r>
  <r>
    <s v="CA-2015-106320"/>
    <x v="4"/>
    <d v="2015-09-30T00:00:00"/>
    <x v="1"/>
    <s v="EB-13870"/>
    <s v="Emily Burns"/>
    <x v="0"/>
    <s v="United States"/>
    <x v="4"/>
    <x v="4"/>
    <x v="1"/>
    <s v="FUR-TA-10000577"/>
    <s v="Furniture"/>
    <x v="2"/>
    <s v="Bretford CR4500 Series Slim Rectangular Table"/>
    <n v="1044.6300000000001"/>
    <n v="3"/>
    <n v="240.26490000000001"/>
    <x v="2"/>
    <x v="4"/>
  </r>
  <r>
    <s v="US-2015-150630"/>
    <x v="5"/>
    <d v="2015-09-21T00:00:00"/>
    <x v="1"/>
    <s v="TB-21520"/>
    <s v="Tracy Blumstein"/>
    <x v="0"/>
    <s v="United States"/>
    <x v="3"/>
    <x v="3"/>
    <x v="2"/>
    <s v="FUR-BO-10004834"/>
    <s v="Furniture"/>
    <x v="0"/>
    <s v="Riverside Palais Royal Lawyers Bookcase, Royale Cherry Finish"/>
    <n v="3083.43"/>
    <n v="7"/>
    <n v="-1665.0522000000001"/>
    <x v="4"/>
    <x v="4"/>
  </r>
  <r>
    <s v="US-2015-150630"/>
    <x v="5"/>
    <d v="2015-09-21T00:00:00"/>
    <x v="1"/>
    <s v="TB-21520"/>
    <s v="Tracy Blumstein"/>
    <x v="0"/>
    <s v="United States"/>
    <x v="3"/>
    <x v="3"/>
    <x v="2"/>
    <s v="FUR-FU-10004848"/>
    <s v="Furniture"/>
    <x v="3"/>
    <s v="Howard Miller 13-3/4&quot; Diameter Brushed Chrome Round Wall Clock"/>
    <n v="124.2"/>
    <n v="3"/>
    <n v="15.525"/>
    <x v="4"/>
    <x v="4"/>
  </r>
  <r>
    <s v="CA-2016-117590"/>
    <x v="6"/>
    <d v="2016-12-10T00:00:00"/>
    <x v="2"/>
    <s v="GH-14485"/>
    <s v="Gene Hale"/>
    <x v="1"/>
    <s v="United States"/>
    <x v="5"/>
    <x v="5"/>
    <x v="3"/>
    <s v="FUR-FU-10003664"/>
    <s v="Furniture"/>
    <x v="3"/>
    <s v="Electrix Architect's Clamp-On Swing Arm Lamp, Black"/>
    <n v="190.92"/>
    <n v="5"/>
    <n v="-147.96299999999999"/>
    <x v="3"/>
    <x v="5"/>
  </r>
  <r>
    <s v="CA-2015-117415"/>
    <x v="7"/>
    <d v="2015-12-31T00:00:00"/>
    <x v="1"/>
    <s v="SN-20710"/>
    <s v="Steve Nguyen"/>
    <x v="2"/>
    <s v="United States"/>
    <x v="6"/>
    <x v="5"/>
    <x v="3"/>
    <s v="FUR-BO-10002545"/>
    <s v="Furniture"/>
    <x v="0"/>
    <s v="Atlantic Metals Mobile 3-Shelf Bookcases, Custom Colors"/>
    <n v="532.39919999999995"/>
    <n v="3"/>
    <n v="-46.976399999999998"/>
    <x v="4"/>
    <x v="5"/>
  </r>
  <r>
    <s v="CA-2015-117415"/>
    <x v="7"/>
    <d v="2015-12-31T00:00:00"/>
    <x v="1"/>
    <s v="SN-20710"/>
    <s v="Steve Nguyen"/>
    <x v="2"/>
    <s v="United States"/>
    <x v="6"/>
    <x v="5"/>
    <x v="3"/>
    <s v="FUR-CH-10004218"/>
    <s v="Furniture"/>
    <x v="1"/>
    <s v="Global Fabric Manager's Chair, Dark Gray"/>
    <n v="212.05799999999999"/>
    <n v="3"/>
    <n v="-15.147"/>
    <x v="4"/>
    <x v="5"/>
  </r>
  <r>
    <s v="CA-2015-115742"/>
    <x v="8"/>
    <d v="2015-04-22T00:00:00"/>
    <x v="1"/>
    <s v="DP-13000"/>
    <s v="Darren Powers"/>
    <x v="0"/>
    <s v="United States"/>
    <x v="7"/>
    <x v="6"/>
    <x v="3"/>
    <s v="FUR-FU-10001706"/>
    <s v="Furniture"/>
    <x v="3"/>
    <s v="Longer-Life Soft White Bulbs"/>
    <n v="6.16"/>
    <n v="2"/>
    <n v="2.9567999999999999"/>
    <x v="4"/>
    <x v="6"/>
  </r>
  <r>
    <s v="CA-2015-115742"/>
    <x v="8"/>
    <d v="2015-04-22T00:00:00"/>
    <x v="1"/>
    <s v="DP-13000"/>
    <s v="Darren Powers"/>
    <x v="0"/>
    <s v="United States"/>
    <x v="7"/>
    <x v="6"/>
    <x v="3"/>
    <s v="FUR-CH-10003061"/>
    <s v="Furniture"/>
    <x v="1"/>
    <s v="Global Leather Task Chair, Black"/>
    <n v="89.99"/>
    <n v="1"/>
    <n v="17.098099999999999"/>
    <x v="4"/>
    <x v="6"/>
  </r>
  <r>
    <s v="CA-2016-111682"/>
    <x v="9"/>
    <d v="2016-06-18T00:00:00"/>
    <x v="2"/>
    <s v="TB-21055"/>
    <s v="Ted Butterfield"/>
    <x v="0"/>
    <s v="United States"/>
    <x v="8"/>
    <x v="7"/>
    <x v="2"/>
    <s v="FUR-CH-10003968"/>
    <s v="Furniture"/>
    <x v="1"/>
    <s v="Novimex Turbo Task Chair"/>
    <n v="319.41000000000003"/>
    <n v="5"/>
    <n v="7.0979999999999999"/>
    <x v="5"/>
    <x v="2"/>
  </r>
  <r>
    <s v="CA-2015-135545"/>
    <x v="10"/>
    <d v="2015-11-30T00:00:00"/>
    <x v="1"/>
    <s v="KM-16720"/>
    <s v="Kunst Miller"/>
    <x v="0"/>
    <s v="United States"/>
    <x v="2"/>
    <x v="2"/>
    <x v="1"/>
    <s v="FUR-FU-10000397"/>
    <s v="Furniture"/>
    <x v="3"/>
    <s v="Luxo Economy Swing Arm Lamp"/>
    <n v="79.760000000000005"/>
    <n v="4"/>
    <n v="22.332799999999999"/>
    <x v="6"/>
    <x v="0"/>
  </r>
  <r>
    <s v="US-2015-164175"/>
    <x v="11"/>
    <d v="2015-05-05T00:00:00"/>
    <x v="1"/>
    <s v="PS-18970"/>
    <s v="Paul Stevenson"/>
    <x v="2"/>
    <s v="United States"/>
    <x v="9"/>
    <x v="8"/>
    <x v="3"/>
    <s v="FUR-CH-10001146"/>
    <s v="Furniture"/>
    <x v="1"/>
    <s v="Global Value Mid-Back Manager's Chair, Gray"/>
    <n v="213.11500000000001"/>
    <n v="5"/>
    <n v="-15.2225"/>
    <x v="2"/>
    <x v="6"/>
  </r>
  <r>
    <s v="US-2015-134026"/>
    <x v="12"/>
    <d v="2015-05-02T00:00:00"/>
    <x v="1"/>
    <s v="JE-15745"/>
    <s v="Joel Eaton"/>
    <x v="0"/>
    <s v="United States"/>
    <x v="10"/>
    <x v="9"/>
    <x v="0"/>
    <s v="FUR-CH-10000513"/>
    <s v="Furniture"/>
    <x v="1"/>
    <s v="High-Back Leather Manager's Chair"/>
    <n v="831.93600000000004"/>
    <n v="8"/>
    <n v="-114.3912"/>
    <x v="6"/>
    <x v="6"/>
  </r>
  <r>
    <s v="US-2015-134026"/>
    <x v="12"/>
    <d v="2015-05-02T00:00:00"/>
    <x v="1"/>
    <s v="JE-15745"/>
    <s v="Joel Eaton"/>
    <x v="0"/>
    <s v="United States"/>
    <x v="10"/>
    <x v="9"/>
    <x v="0"/>
    <s v="FUR-FU-10003708"/>
    <s v="Furniture"/>
    <x v="3"/>
    <s v="Tenex Traditional Chairmats for Medium Pile Carpet, Standard Lip, 36&quot; x 48&quot;"/>
    <n v="97.04"/>
    <n v="2"/>
    <n v="1.2130000000000001"/>
    <x v="6"/>
    <x v="6"/>
  </r>
  <r>
    <s v="US-2017-118038"/>
    <x v="13"/>
    <d v="2017-12-11T00:00:00"/>
    <x v="2"/>
    <s v="KB-16600"/>
    <s v="Ken Brennan"/>
    <x v="1"/>
    <s v="United States"/>
    <x v="6"/>
    <x v="5"/>
    <x v="3"/>
    <s v="FUR-FU-10000260"/>
    <s v="Furniture"/>
    <x v="3"/>
    <s v="6&quot; Cubicle Wall Clock, Black"/>
    <n v="9.7080000000000002"/>
    <n v="3"/>
    <n v="-5.8247999999999998"/>
    <x v="3"/>
    <x v="5"/>
  </r>
  <r>
    <s v="US-2014-147606"/>
    <x v="14"/>
    <d v="2014-12-01T00:00:00"/>
    <x v="0"/>
    <s v="JE-15745"/>
    <s v="Joel Eaton"/>
    <x v="0"/>
    <s v="United States"/>
    <x v="6"/>
    <x v="5"/>
    <x v="3"/>
    <s v="FUR-FU-10003194"/>
    <s v="Furniture"/>
    <x v="3"/>
    <s v="Eldon Expressions Desk Accessory, Wood Pencil Holder, Oak"/>
    <n v="19.3"/>
    <n v="5"/>
    <n v="-14.475"/>
    <x v="2"/>
    <x v="0"/>
  </r>
  <r>
    <s v="CA-2017-140088"/>
    <x v="15"/>
    <d v="2017-05-30T00:00:00"/>
    <x v="0"/>
    <s v="PO-18865"/>
    <s v="Patrick O'Donnell"/>
    <x v="0"/>
    <s v="United States"/>
    <x v="11"/>
    <x v="10"/>
    <x v="0"/>
    <s v="FUR-CH-10000863"/>
    <s v="Furniture"/>
    <x v="1"/>
    <s v="Novimex Swivel Fabric Task Chair"/>
    <n v="301.95999999999998"/>
    <n v="2"/>
    <n v="33.215600000000002"/>
    <x v="3"/>
    <x v="7"/>
  </r>
  <r>
    <s v="CA-2015-149587"/>
    <x v="16"/>
    <d v="2015-02-05T00:00:00"/>
    <x v="0"/>
    <s v="KB-16315"/>
    <s v="Karl Braun"/>
    <x v="0"/>
    <s v="United States"/>
    <x v="12"/>
    <x v="11"/>
    <x v="3"/>
    <s v="FUR-FU-10003799"/>
    <s v="Furniture"/>
    <x v="3"/>
    <s v="Seth Thomas 13 1/2&quot; Wall Clock"/>
    <n v="53.34"/>
    <n v="3"/>
    <n v="16.535399999999999"/>
    <x v="2"/>
    <x v="8"/>
  </r>
  <r>
    <s v="CA-2017-161018"/>
    <x v="17"/>
    <d v="2017-11-11T00:00:00"/>
    <x v="0"/>
    <s v="PN-18775"/>
    <s v="Parhena Norris"/>
    <x v="2"/>
    <s v="United States"/>
    <x v="13"/>
    <x v="7"/>
    <x v="2"/>
    <s v="FUR-FU-10000629"/>
    <s v="Furniture"/>
    <x v="3"/>
    <s v="9-3/4 Diameter Round Wall Clock"/>
    <n v="96.53"/>
    <n v="7"/>
    <n v="40.5426"/>
    <x v="3"/>
    <x v="0"/>
  </r>
  <r>
    <s v="US-2015-156867"/>
    <x v="18"/>
    <d v="2015-11-17T00:00:00"/>
    <x v="1"/>
    <s v="LC-16870"/>
    <s v="Lena Cacioppo"/>
    <x v="0"/>
    <s v="United States"/>
    <x v="14"/>
    <x v="12"/>
    <x v="1"/>
    <s v="FUR-FU-10004006"/>
    <s v="Furniture"/>
    <x v="3"/>
    <s v="Deflect-o DuraMat Lighweight, Studded, Beveled Mat for Low Pile Carpeting"/>
    <n v="102.36"/>
    <n v="3"/>
    <n v="-3.8384999999999998"/>
    <x v="4"/>
    <x v="0"/>
  </r>
  <r>
    <s v="CA-2017-146780"/>
    <x v="19"/>
    <d v="2017-12-30T00:00:00"/>
    <x v="1"/>
    <s v="CV-12805"/>
    <s v="Cynthia Voltz"/>
    <x v="1"/>
    <s v="United States"/>
    <x v="13"/>
    <x v="7"/>
    <x v="2"/>
    <s v="FUR-FU-10001934"/>
    <s v="Furniture"/>
    <x v="3"/>
    <s v="Magnifier Swing Arm Lamp"/>
    <n v="41.96"/>
    <n v="2"/>
    <n v="10.909599999999999"/>
    <x v="2"/>
    <x v="5"/>
  </r>
  <r>
    <s v="CA-2015-110457"/>
    <x v="20"/>
    <d v="2015-03-06T00:00:00"/>
    <x v="1"/>
    <s v="DK-13090"/>
    <s v="Dave Kipp"/>
    <x v="0"/>
    <s v="United States"/>
    <x v="15"/>
    <x v="13"/>
    <x v="1"/>
    <s v="FUR-TA-10001768"/>
    <s v="Furniture"/>
    <x v="2"/>
    <s v="Hon Racetrack Conference Tables"/>
    <n v="787.53"/>
    <n v="3"/>
    <n v="165.38130000000001"/>
    <x v="4"/>
    <x v="9"/>
  </r>
  <r>
    <s v="CA-2016-103730"/>
    <x v="21"/>
    <d v="2016-06-15T00:00:00"/>
    <x v="2"/>
    <s v="SC-20725"/>
    <s v="Steven Cartwright"/>
    <x v="0"/>
    <s v="United States"/>
    <x v="16"/>
    <x v="14"/>
    <x v="2"/>
    <s v="FUR-FU-10002157"/>
    <s v="Furniture"/>
    <x v="3"/>
    <s v="Artistic Insta-Plaque"/>
    <n v="47.04"/>
    <n v="3"/>
    <n v="18.345600000000001"/>
    <x v="0"/>
    <x v="2"/>
  </r>
  <r>
    <s v="US-2014-152030"/>
    <x v="22"/>
    <d v="2014-12-28T00:00:00"/>
    <x v="0"/>
    <s v="AD-10180"/>
    <s v="Alan Dominguez"/>
    <x v="2"/>
    <s v="United States"/>
    <x v="6"/>
    <x v="5"/>
    <x v="3"/>
    <s v="FUR-CH-10004063"/>
    <s v="Furniture"/>
    <x v="1"/>
    <s v="Global Deluxe High-Back Manager's Chair"/>
    <n v="600.55799999999999"/>
    <n v="3"/>
    <n v="-8.5793999999999997"/>
    <x v="3"/>
    <x v="5"/>
  </r>
  <r>
    <s v="US-2014-134614"/>
    <x v="23"/>
    <d v="2014-09-25T00:00:00"/>
    <x v="1"/>
    <s v="PF-19165"/>
    <s v="Philip Fox"/>
    <x v="0"/>
    <s v="United States"/>
    <x v="17"/>
    <x v="8"/>
    <x v="3"/>
    <s v="FUR-TA-10004534"/>
    <s v="Furniture"/>
    <x v="2"/>
    <s v="Bevis 44 x 96 Conference Tables"/>
    <n v="617.70000000000005"/>
    <n v="6"/>
    <n v="-407.68200000000002"/>
    <x v="2"/>
    <x v="4"/>
  </r>
  <r>
    <s v="US-2016-125969"/>
    <x v="24"/>
    <d v="2016-11-10T00:00:00"/>
    <x v="0"/>
    <s v="LS-16975"/>
    <s v="Lindsay Shagiari"/>
    <x v="2"/>
    <s v="United States"/>
    <x v="2"/>
    <x v="2"/>
    <x v="1"/>
    <s v="FUR-CH-10001146"/>
    <s v="Furniture"/>
    <x v="1"/>
    <s v="Global Task Chair, Black"/>
    <n v="81.424000000000007"/>
    <n v="2"/>
    <n v="-9.1601999999999997"/>
    <x v="4"/>
    <x v="0"/>
  </r>
  <r>
    <s v="US-2016-125969"/>
    <x v="24"/>
    <d v="2016-11-10T00:00:00"/>
    <x v="0"/>
    <s v="LS-16975"/>
    <s v="Lindsay Shagiari"/>
    <x v="2"/>
    <s v="United States"/>
    <x v="2"/>
    <x v="2"/>
    <x v="1"/>
    <s v="FUR-FU-10003773"/>
    <s v="Furniture"/>
    <x v="3"/>
    <s v="Eldon Cleatmat Plus Chair Mats for High Pile Carpets"/>
    <n v="238.56"/>
    <n v="3"/>
    <n v="26.241599999999998"/>
    <x v="4"/>
    <x v="0"/>
  </r>
  <r>
    <s v="CA-2016-145583"/>
    <x v="25"/>
    <d v="2016-10-19T00:00:00"/>
    <x v="1"/>
    <s v="LC-16885"/>
    <s v="Lena Creighton"/>
    <x v="0"/>
    <s v="United States"/>
    <x v="18"/>
    <x v="2"/>
    <x v="1"/>
    <s v="FUR-FU-10001706"/>
    <s v="Furniture"/>
    <x v="3"/>
    <s v="Longer-Life Soft White Bulbs"/>
    <n v="43.12"/>
    <n v="14"/>
    <n v="20.697600000000001"/>
    <x v="6"/>
    <x v="1"/>
  </r>
  <r>
    <s v="CA-2016-110366"/>
    <x v="26"/>
    <d v="2016-09-07T00:00:00"/>
    <x v="0"/>
    <s v="JD-15895"/>
    <s v="Jonathan Doherty"/>
    <x v="1"/>
    <s v="United States"/>
    <x v="3"/>
    <x v="3"/>
    <x v="2"/>
    <s v="FUR-FU-10004848"/>
    <s v="Furniture"/>
    <x v="3"/>
    <s v="Howard Miller 13-3/4&quot; Diameter Brushed Chrome Round Wall Clock"/>
    <n v="82.8"/>
    <n v="2"/>
    <n v="10.35"/>
    <x v="3"/>
    <x v="4"/>
  </r>
  <r>
    <s v="CA-2014-110072"/>
    <x v="27"/>
    <d v="2014-10-28T00:00:00"/>
    <x v="1"/>
    <s v="MG-17680"/>
    <s v="Maureen Gastineau"/>
    <x v="2"/>
    <s v="United States"/>
    <x v="19"/>
    <x v="15"/>
    <x v="2"/>
    <s v="FUR-FU-10000521"/>
    <s v="Furniture"/>
    <x v="3"/>
    <s v="Seth Thomas 14&quot; Putty-Colored Wall Clock"/>
    <n v="93.888000000000005"/>
    <n v="4"/>
    <n v="12.909599999999999"/>
    <x v="6"/>
    <x v="1"/>
  </r>
  <r>
    <s v="CA-2016-114489"/>
    <x v="28"/>
    <d v="2016-12-09T00:00:00"/>
    <x v="1"/>
    <s v="JE-16165"/>
    <s v="Justin Ellison"/>
    <x v="1"/>
    <s v="United States"/>
    <x v="20"/>
    <x v="16"/>
    <x v="3"/>
    <s v="FUR-CH-10000454"/>
    <s v="Furniture"/>
    <x v="1"/>
    <s v="Hon Deluxe Fabric Upholstered Stacking Chairs, Rounded Back"/>
    <n v="1951.84"/>
    <n v="8"/>
    <n v="585.55200000000002"/>
    <x v="4"/>
    <x v="5"/>
  </r>
  <r>
    <s v="CA-2014-104269"/>
    <x v="29"/>
    <d v="2014-03-06T00:00:00"/>
    <x v="0"/>
    <s v="DB-13060"/>
    <s v="Dave Brooks"/>
    <x v="0"/>
    <s v="United States"/>
    <x v="15"/>
    <x v="13"/>
    <x v="1"/>
    <s v="FUR-CH-10004063"/>
    <s v="Furniture"/>
    <x v="1"/>
    <s v="Global Deluxe High-Back Manager's Chair"/>
    <n v="457.56799999999998"/>
    <n v="2"/>
    <n v="51.476399999999998"/>
    <x v="2"/>
    <x v="9"/>
  </r>
  <r>
    <s v="CA-2014-139892"/>
    <x v="30"/>
    <d v="2014-09-12T00:00:00"/>
    <x v="1"/>
    <s v="BM-11140"/>
    <s v="Becky Martin"/>
    <x v="0"/>
    <s v="United States"/>
    <x v="21"/>
    <x v="5"/>
    <x v="3"/>
    <s v="FUR-CH-10004287"/>
    <s v="Furniture"/>
    <x v="1"/>
    <s v="SAFCO Arco Folding Chair"/>
    <n v="1740.06"/>
    <n v="9"/>
    <n v="-24.858000000000001"/>
    <x v="4"/>
    <x v="4"/>
  </r>
  <r>
    <s v="CA-2014-118962"/>
    <x v="31"/>
    <d v="2014-08-09T00:00:00"/>
    <x v="1"/>
    <s v="CS-12130"/>
    <s v="Chad Sievert"/>
    <x v="0"/>
    <s v="United States"/>
    <x v="2"/>
    <x v="2"/>
    <x v="1"/>
    <s v="FUR-CH-10003817"/>
    <s v="Furniture"/>
    <x v="1"/>
    <s v="Global Value Steno Chair, Gray"/>
    <n v="340.14400000000001"/>
    <n v="7"/>
    <n v="21.259"/>
    <x v="4"/>
    <x v="10"/>
  </r>
  <r>
    <s v="US-2015-101511"/>
    <x v="32"/>
    <d v="2015-11-23T00:00:00"/>
    <x v="0"/>
    <s v="JE-15745"/>
    <s v="Joel Eaton"/>
    <x v="0"/>
    <s v="United States"/>
    <x v="19"/>
    <x v="15"/>
    <x v="2"/>
    <s v="FUR-CH-10004698"/>
    <s v="Furniture"/>
    <x v="1"/>
    <s v="Padded Folding Chairs, Black, 4/Carton"/>
    <n v="396.80200000000002"/>
    <n v="7"/>
    <n v="-11.337199999999999"/>
    <x v="3"/>
    <x v="0"/>
  </r>
  <r>
    <s v="CA-2015-102281"/>
    <x v="33"/>
    <d v="2015-10-14T00:00:00"/>
    <x v="2"/>
    <s v="MP-17470"/>
    <s v="Mark Packer"/>
    <x v="2"/>
    <s v="United States"/>
    <x v="13"/>
    <x v="7"/>
    <x v="2"/>
    <s v="FUR-BO-10002613"/>
    <s v="Furniture"/>
    <x v="0"/>
    <s v="Atlantic Metals Mobile 4-Shelf Bookcases, Custom Colors"/>
    <n v="899.13599999999997"/>
    <n v="4"/>
    <n v="112.392"/>
    <x v="3"/>
    <x v="1"/>
  </r>
  <r>
    <s v="CA-2015-102281"/>
    <x v="33"/>
    <d v="2015-10-14T00:00:00"/>
    <x v="2"/>
    <s v="MP-17470"/>
    <s v="Mark Packer"/>
    <x v="2"/>
    <s v="United States"/>
    <x v="13"/>
    <x v="7"/>
    <x v="2"/>
    <s v="FUR-BO-10002545"/>
    <s v="Furniture"/>
    <x v="0"/>
    <s v="Atlantic Metals Mobile 3-Shelf Bookcases, Custom Colors"/>
    <n v="626.35199999999998"/>
    <n v="3"/>
    <n v="46.976399999999998"/>
    <x v="3"/>
    <x v="1"/>
  </r>
  <r>
    <s v="CA-2014-133690"/>
    <x v="34"/>
    <d v="2014-08-05T00:00:00"/>
    <x v="2"/>
    <s v="BS-11755"/>
    <s v="Bruce Stewart"/>
    <x v="0"/>
    <s v="United States"/>
    <x v="22"/>
    <x v="12"/>
    <x v="1"/>
    <s v="FUR-TA-10004289"/>
    <s v="Furniture"/>
    <x v="2"/>
    <s v="BoxOffice By Design Rectangular and Half-Moon Meeting Room Tables"/>
    <n v="218.75"/>
    <n v="2"/>
    <n v="-161.875"/>
    <x v="3"/>
    <x v="10"/>
  </r>
  <r>
    <s v="CA-2017-126382"/>
    <x v="35"/>
    <d v="2017-06-07T00:00:00"/>
    <x v="1"/>
    <s v="HK-14890"/>
    <s v="Heather Kirkland"/>
    <x v="1"/>
    <s v="United States"/>
    <x v="20"/>
    <x v="9"/>
    <x v="0"/>
    <s v="FUR-FU-10002960"/>
    <s v="Furniture"/>
    <x v="3"/>
    <s v="Eldon 200 Class Desk Accessories, Burgundy"/>
    <n v="35.167999999999999"/>
    <n v="7"/>
    <n v="9.6712000000000007"/>
    <x v="4"/>
    <x v="2"/>
  </r>
  <r>
    <s v="CA-2015-146262"/>
    <x v="36"/>
    <d v="2015-01-09T00:00:00"/>
    <x v="1"/>
    <s v="VW-21775"/>
    <s v="Victoria Wilson"/>
    <x v="1"/>
    <s v="United States"/>
    <x v="23"/>
    <x v="15"/>
    <x v="2"/>
    <s v="FUR-BO-10004695"/>
    <s v="Furniture"/>
    <x v="0"/>
    <s v="O'Sullivan 2-Door Barrister Bookcase in Odessa Pine"/>
    <n v="452.45"/>
    <n v="5"/>
    <n v="-244.32300000000001"/>
    <x v="1"/>
    <x v="8"/>
  </r>
  <r>
    <s v="CA-2015-169397"/>
    <x v="37"/>
    <d v="2015-12-27T00:00:00"/>
    <x v="2"/>
    <s v="JB-15925"/>
    <s v="Joni Blumstein"/>
    <x v="0"/>
    <s v="United States"/>
    <x v="24"/>
    <x v="15"/>
    <x v="2"/>
    <s v="FUR-FU-10000087"/>
    <s v="Furniture"/>
    <x v="3"/>
    <s v="Executive Impressions 14&quot; Two-Color Numerals Wall Clock"/>
    <n v="72.703999999999994"/>
    <n v="4"/>
    <n v="19.084800000000001"/>
    <x v="0"/>
    <x v="5"/>
  </r>
  <r>
    <s v="CA-2015-163055"/>
    <x v="38"/>
    <d v="2015-08-16T00:00:00"/>
    <x v="1"/>
    <s v="DS-13180"/>
    <s v="David Smith"/>
    <x v="1"/>
    <s v="United States"/>
    <x v="25"/>
    <x v="17"/>
    <x v="3"/>
    <s v="FUR-TA-10003748"/>
    <s v="Furniture"/>
    <x v="2"/>
    <s v="Bevis 36 x 72 Conference Tables"/>
    <n v="622.45000000000005"/>
    <n v="5"/>
    <n v="136.93899999999999"/>
    <x v="1"/>
    <x v="10"/>
  </r>
  <r>
    <s v="US-2015-145436"/>
    <x v="39"/>
    <d v="2015-03-04T00:00:00"/>
    <x v="1"/>
    <s v="VD-21670"/>
    <s v="Valerie Dominguez"/>
    <x v="0"/>
    <s v="United States"/>
    <x v="11"/>
    <x v="9"/>
    <x v="0"/>
    <s v="FUR-CH-10004860"/>
    <s v="Furniture"/>
    <x v="1"/>
    <s v="Global Low Back Tilter Chair"/>
    <n v="161.56800000000001"/>
    <n v="2"/>
    <n v="-28.2744"/>
    <x v="4"/>
    <x v="11"/>
  </r>
  <r>
    <s v="US-2015-145436"/>
    <x v="39"/>
    <d v="2015-03-04T00:00:00"/>
    <x v="1"/>
    <s v="VD-21670"/>
    <s v="Valerie Dominguez"/>
    <x v="0"/>
    <s v="United States"/>
    <x v="11"/>
    <x v="9"/>
    <x v="0"/>
    <s v="FUR-CH-10004477"/>
    <s v="Furniture"/>
    <x v="1"/>
    <s v="Global Push Button Manager's Chair, Indigo"/>
    <n v="389.69600000000003"/>
    <n v="8"/>
    <n v="43.840800000000002"/>
    <x v="4"/>
    <x v="11"/>
  </r>
  <r>
    <s v="US-2017-100930"/>
    <x v="40"/>
    <d v="2017-04-12T00:00:00"/>
    <x v="1"/>
    <s v="CS-12400"/>
    <s v="Christopher Schild"/>
    <x v="2"/>
    <s v="United States"/>
    <x v="26"/>
    <x v="1"/>
    <x v="0"/>
    <s v="FUR-TA-10001705"/>
    <s v="Furniture"/>
    <x v="2"/>
    <s v="Bush Advantage Collection Round Conference Table"/>
    <n v="233.86"/>
    <n v="2"/>
    <n v="-102.048"/>
    <x v="2"/>
    <x v="6"/>
  </r>
  <r>
    <s v="US-2017-100930"/>
    <x v="40"/>
    <d v="2017-04-12T00:00:00"/>
    <x v="1"/>
    <s v="CS-12400"/>
    <s v="Christopher Schild"/>
    <x v="2"/>
    <s v="United States"/>
    <x v="26"/>
    <x v="1"/>
    <x v="0"/>
    <s v="FUR-TA-10003473"/>
    <s v="Furniture"/>
    <x v="2"/>
    <s v="Bretford Rectangular Conference Table Tops"/>
    <n v="620.61450000000002"/>
    <n v="3"/>
    <n v="-248.2458"/>
    <x v="2"/>
    <x v="6"/>
  </r>
  <r>
    <s v="US-2017-100930"/>
    <x v="40"/>
    <d v="2017-04-12T00:00:00"/>
    <x v="1"/>
    <s v="CS-12400"/>
    <s v="Christopher Schild"/>
    <x v="2"/>
    <s v="United States"/>
    <x v="26"/>
    <x v="1"/>
    <x v="0"/>
    <s v="FUR-FU-10004017"/>
    <s v="Furniture"/>
    <x v="3"/>
    <s v="Tenex Contemporary Contur Chairmats for Low and Medium Pile Carpet, Computer, 39&quot; x 49&quot;"/>
    <n v="258.072"/>
    <n v="3"/>
    <n v="0"/>
    <x v="2"/>
    <x v="6"/>
  </r>
  <r>
    <s v="CA-2016-157749"/>
    <x v="41"/>
    <d v="2016-06-09T00:00:00"/>
    <x v="0"/>
    <s v="KL-16645"/>
    <s v="Ken Lonsdale"/>
    <x v="0"/>
    <s v="United States"/>
    <x v="9"/>
    <x v="8"/>
    <x v="3"/>
    <s v="FUR-FU-10000576"/>
    <s v="Furniture"/>
    <x v="3"/>
    <s v="Luxo Professional Fluorescent Magnifier Lamp with Clamp-Mount Base"/>
    <n v="419.68"/>
    <n v="5"/>
    <n v="-356.72800000000001"/>
    <x v="2"/>
    <x v="2"/>
  </r>
  <r>
    <s v="CA-2016-157749"/>
    <x v="41"/>
    <d v="2016-06-09T00:00:00"/>
    <x v="0"/>
    <s v="KL-16645"/>
    <s v="Ken Lonsdale"/>
    <x v="0"/>
    <s v="United States"/>
    <x v="9"/>
    <x v="8"/>
    <x v="3"/>
    <s v="FUR-FU-10004351"/>
    <s v="Furniture"/>
    <x v="3"/>
    <s v="Staple-based wall hangings"/>
    <n v="11.688000000000001"/>
    <n v="3"/>
    <n v="-4.6752000000000002"/>
    <x v="2"/>
    <x v="2"/>
  </r>
  <r>
    <s v="CA-2016-157749"/>
    <x v="41"/>
    <d v="2016-06-09T00:00:00"/>
    <x v="0"/>
    <s v="KL-16645"/>
    <s v="Ken Lonsdale"/>
    <x v="0"/>
    <s v="United States"/>
    <x v="9"/>
    <x v="8"/>
    <x v="3"/>
    <s v="FUR-TA-10002607"/>
    <s v="Furniture"/>
    <x v="2"/>
    <s v="KI Conference Tables"/>
    <n v="177.22499999999999"/>
    <n v="5"/>
    <n v="-120.51300000000001"/>
    <x v="2"/>
    <x v="2"/>
  </r>
  <r>
    <s v="CA-2016-157749"/>
    <x v="41"/>
    <d v="2016-06-09T00:00:00"/>
    <x v="0"/>
    <s v="KL-16645"/>
    <s v="Ken Lonsdale"/>
    <x v="0"/>
    <s v="United States"/>
    <x v="9"/>
    <x v="8"/>
    <x v="3"/>
    <s v="FUR-FU-10002505"/>
    <s v="Furniture"/>
    <x v="3"/>
    <s v="Eldon 100 Class Desk Accessories"/>
    <n v="4.0439999999999996"/>
    <n v="3"/>
    <n v="-2.8308"/>
    <x v="2"/>
    <x v="2"/>
  </r>
  <r>
    <s v="CA-2014-131926"/>
    <x v="42"/>
    <d v="2014-06-06T00:00:00"/>
    <x v="0"/>
    <s v="DW-13480"/>
    <s v="Dianna Wilson"/>
    <x v="2"/>
    <s v="United States"/>
    <x v="27"/>
    <x v="11"/>
    <x v="3"/>
    <s v="FUR-CH-10004063"/>
    <s v="Furniture"/>
    <x v="1"/>
    <s v="Global Deluxe High-Back Manager's Chair"/>
    <n v="2001.86"/>
    <n v="7"/>
    <n v="580.5394"/>
    <x v="2"/>
    <x v="2"/>
  </r>
  <r>
    <s v="CA-2016-154739"/>
    <x v="43"/>
    <d v="2016-12-15T00:00:00"/>
    <x v="0"/>
    <s v="LH-17155"/>
    <s v="Logan Haushalter"/>
    <x v="0"/>
    <s v="United States"/>
    <x v="28"/>
    <x v="2"/>
    <x v="1"/>
    <s v="FUR-CH-10002965"/>
    <s v="Furniture"/>
    <x v="1"/>
    <s v="Global Leather Highback Executive Chair with Pneumatic Height Adjustment, Black"/>
    <n v="321.56799999999998"/>
    <n v="2"/>
    <n v="28.1372"/>
    <x v="2"/>
    <x v="5"/>
  </r>
  <r>
    <s v="US-2015-159982"/>
    <x v="44"/>
    <d v="2015-12-04T00:00:00"/>
    <x v="1"/>
    <s v="DR-12880"/>
    <s v="Dan Reichenbach"/>
    <x v="1"/>
    <s v="United States"/>
    <x v="9"/>
    <x v="8"/>
    <x v="3"/>
    <s v="FUR-FU-10002505"/>
    <s v="Furniture"/>
    <x v="3"/>
    <s v="Eldon 100 Class Desk Accessories"/>
    <n v="12.132"/>
    <n v="9"/>
    <n v="-8.4923999999999999"/>
    <x v="6"/>
    <x v="0"/>
  </r>
  <r>
    <s v="CA-2015-155334"/>
    <x v="45"/>
    <d v="2015-07-31T00:00:00"/>
    <x v="2"/>
    <s v="HA-14920"/>
    <s v="Helen Andreada"/>
    <x v="0"/>
    <s v="United States"/>
    <x v="28"/>
    <x v="2"/>
    <x v="1"/>
    <s v="FUR-FU-10003274"/>
    <s v="Furniture"/>
    <x v="3"/>
    <s v="Regeneration Desk Collection"/>
    <n v="5.28"/>
    <n v="3"/>
    <n v="2.3231999999999999"/>
    <x v="5"/>
    <x v="3"/>
  </r>
  <r>
    <s v="CA-2015-130890"/>
    <x v="46"/>
    <d v="2015-11-06T00:00:00"/>
    <x v="1"/>
    <s v="JO-15280"/>
    <s v="Jas O'Carroll"/>
    <x v="0"/>
    <s v="United States"/>
    <x v="2"/>
    <x v="2"/>
    <x v="1"/>
    <s v="FUR-TA-10002903"/>
    <s v="Furniture"/>
    <x v="2"/>
    <s v="Bevis Round Bullnose 29&quot; High Table Top"/>
    <n v="1038.8399999999999"/>
    <n v="5"/>
    <n v="51.942"/>
    <x v="4"/>
    <x v="0"/>
  </r>
  <r>
    <s v="CA-2016-110772"/>
    <x v="47"/>
    <d v="2016-11-24T00:00:00"/>
    <x v="0"/>
    <s v="NZ-18565"/>
    <s v="Nick Zandusky"/>
    <x v="2"/>
    <s v="United States"/>
    <x v="29"/>
    <x v="15"/>
    <x v="2"/>
    <s v="FUR-BO-10004709"/>
    <s v="Furniture"/>
    <x v="0"/>
    <s v="Bush Westfield Collection Bookcases, Medium Cherry Finish"/>
    <n v="86.97"/>
    <n v="3"/>
    <n v="-48.703200000000002"/>
    <x v="4"/>
    <x v="0"/>
  </r>
  <r>
    <s v="CA-2014-111451"/>
    <x v="22"/>
    <d v="2014-12-28T00:00:00"/>
    <x v="2"/>
    <s v="KL-16555"/>
    <s v="Kelly Lampkin"/>
    <x v="1"/>
    <s v="United States"/>
    <x v="30"/>
    <x v="12"/>
    <x v="1"/>
    <s v="FUR-FU-10004091"/>
    <s v="Furniture"/>
    <x v="3"/>
    <s v="Howard Miller 13&quot; Diameter Goldtone Round Wall Clock"/>
    <n v="300.416"/>
    <n v="8"/>
    <n v="78.859200000000001"/>
    <x v="3"/>
    <x v="5"/>
  </r>
  <r>
    <s v="CA-2014-111451"/>
    <x v="22"/>
    <d v="2014-12-28T00:00:00"/>
    <x v="2"/>
    <s v="KL-16555"/>
    <s v="Kelly Lampkin"/>
    <x v="1"/>
    <s v="United States"/>
    <x v="30"/>
    <x v="12"/>
    <x v="1"/>
    <s v="FUR-CH-10001891"/>
    <s v="Furniture"/>
    <x v="1"/>
    <s v="Global Deluxe Office Fabric Chairs"/>
    <n v="230.352"/>
    <n v="3"/>
    <n v="20.155799999999999"/>
    <x v="3"/>
    <x v="5"/>
  </r>
  <r>
    <s v="CA-2014-111451"/>
    <x v="22"/>
    <d v="2014-12-28T00:00:00"/>
    <x v="2"/>
    <s v="KL-16555"/>
    <s v="Kelly Lampkin"/>
    <x v="1"/>
    <s v="United States"/>
    <x v="30"/>
    <x v="12"/>
    <x v="1"/>
    <s v="FUR-FU-10002918"/>
    <s v="Furniture"/>
    <x v="3"/>
    <s v="Eldon ClusterMat Chair Mat with Cordless Antistatic Protection"/>
    <n v="218.352"/>
    <n v="3"/>
    <n v="-24.564599999999999"/>
    <x v="3"/>
    <x v="5"/>
  </r>
  <r>
    <s v="CA-2016-142545"/>
    <x v="48"/>
    <d v="2016-11-03T00:00:00"/>
    <x v="1"/>
    <s v="JD-15895"/>
    <s v="Jonathan Doherty"/>
    <x v="1"/>
    <s v="United States"/>
    <x v="31"/>
    <x v="18"/>
    <x v="2"/>
    <s v="FUR-FU-10001861"/>
    <s v="Furniture"/>
    <x v="3"/>
    <s v="Floodlight Indoor Halogen Bulbs, 1 Bulb per Pack, 60 Watts"/>
    <n v="77.599999999999994"/>
    <n v="4"/>
    <n v="38.024000000000001"/>
    <x v="6"/>
    <x v="1"/>
  </r>
  <r>
    <s v="US-2017-152380"/>
    <x v="49"/>
    <d v="2017-11-23T00:00:00"/>
    <x v="1"/>
    <s v="JH-15910"/>
    <s v="Jonathan Howell"/>
    <x v="0"/>
    <s v="United States"/>
    <x v="9"/>
    <x v="8"/>
    <x v="3"/>
    <s v="FUR-TA-10002533"/>
    <s v="Furniture"/>
    <x v="2"/>
    <s v="BPI Conference Tables"/>
    <n v="219.07499999999999"/>
    <n v="3"/>
    <n v="-131.44499999999999"/>
    <x v="4"/>
    <x v="0"/>
  </r>
  <r>
    <s v="CA-2015-144253"/>
    <x v="50"/>
    <d v="2015-05-09T00:00:00"/>
    <x v="0"/>
    <s v="AS-10225"/>
    <s v="Alan Schoenberger"/>
    <x v="1"/>
    <s v="United States"/>
    <x v="13"/>
    <x v="7"/>
    <x v="2"/>
    <s v="FUR-FU-10002671"/>
    <s v="Furniture"/>
    <x v="3"/>
    <s v="Electrix 20W Halogen Replacement Bulb for Zoom-In Desk Lamp"/>
    <n v="26.8"/>
    <n v="2"/>
    <n v="12.864000000000001"/>
    <x v="2"/>
    <x v="7"/>
  </r>
  <r>
    <s v="CA-2016-142902"/>
    <x v="51"/>
    <d v="2016-09-14T00:00:00"/>
    <x v="0"/>
    <s v="BP-11185"/>
    <s v="Ben Peterman"/>
    <x v="1"/>
    <s v="United States"/>
    <x v="32"/>
    <x v="12"/>
    <x v="1"/>
    <s v="FUR-FU-10001918"/>
    <s v="Furniture"/>
    <x v="3"/>
    <s v="C-Line Cubicle Keepers Polyproplyene Holder With Velcro Backings"/>
    <n v="15.135999999999999"/>
    <n v="4"/>
    <n v="3.5948000000000002"/>
    <x v="3"/>
    <x v="4"/>
  </r>
  <r>
    <s v="CA-2016-142902"/>
    <x v="51"/>
    <d v="2016-09-14T00:00:00"/>
    <x v="0"/>
    <s v="BP-11185"/>
    <s v="Ben Peterman"/>
    <x v="1"/>
    <s v="United States"/>
    <x v="32"/>
    <x v="12"/>
    <x v="1"/>
    <s v="FUR-CH-10004086"/>
    <s v="Furniture"/>
    <x v="1"/>
    <s v="Hon 4070 Series Pagoda Armless Upholstered Stacking Chairs"/>
    <n v="466.76799999999997"/>
    <n v="2"/>
    <n v="52.511400000000002"/>
    <x v="3"/>
    <x v="4"/>
  </r>
  <r>
    <s v="CA-2016-142902"/>
    <x v="51"/>
    <d v="2016-09-14T00:00:00"/>
    <x v="0"/>
    <s v="BP-11185"/>
    <s v="Ben Peterman"/>
    <x v="1"/>
    <s v="United States"/>
    <x v="32"/>
    <x v="12"/>
    <x v="1"/>
    <s v="FUR-FU-10001756"/>
    <s v="Furniture"/>
    <x v="3"/>
    <s v="Eldon Expressions Desk Accessory, Wood Photo Frame, Mahogany"/>
    <n v="15.231999999999999"/>
    <n v="1"/>
    <n v="1.7136"/>
    <x v="3"/>
    <x v="4"/>
  </r>
  <r>
    <s v="CA-2014-120887"/>
    <x v="52"/>
    <d v="2014-10-03T00:00:00"/>
    <x v="1"/>
    <s v="TS-21205"/>
    <s v="Thomas Seio"/>
    <x v="1"/>
    <s v="United States"/>
    <x v="33"/>
    <x v="18"/>
    <x v="2"/>
    <s v="FUR-FU-10001588"/>
    <s v="Furniture"/>
    <x v="3"/>
    <s v="Deflect-o SuperTray Unbreakable Stackable Tray, Letter, Black"/>
    <n v="87.54"/>
    <n v="3"/>
    <n v="37.642200000000003"/>
    <x v="6"/>
    <x v="4"/>
  </r>
  <r>
    <s v="CA-2014-164973"/>
    <x v="53"/>
    <d v="2014-11-09T00:00:00"/>
    <x v="1"/>
    <s v="NM-18445"/>
    <s v="Nathan Mautz"/>
    <x v="2"/>
    <s v="United States"/>
    <x v="13"/>
    <x v="7"/>
    <x v="2"/>
    <s v="FUR-CH-10002602"/>
    <s v="Furniture"/>
    <x v="1"/>
    <s v="DMI Arturo Collection Mission-style Design Wood Chair"/>
    <n v="135.88200000000001"/>
    <n v="1"/>
    <n v="24.1568"/>
    <x v="2"/>
    <x v="0"/>
  </r>
  <r>
    <s v="CA-2017-153339"/>
    <x v="54"/>
    <d v="2017-11-05T00:00:00"/>
    <x v="0"/>
    <s v="DJ-13510"/>
    <s v="Don Jones"/>
    <x v="1"/>
    <s v="United States"/>
    <x v="34"/>
    <x v="9"/>
    <x v="0"/>
    <s v="FUR-FU-10001967"/>
    <s v="Furniture"/>
    <x v="3"/>
    <s v="Telescoping Adjustable Floor Lamp"/>
    <n v="15.992000000000001"/>
    <n v="1"/>
    <n v="0.99950000000000006"/>
    <x v="3"/>
    <x v="0"/>
  </r>
  <r>
    <s v="US-2016-141544"/>
    <x v="55"/>
    <d v="2016-09-01T00:00:00"/>
    <x v="2"/>
    <s v="PO-18850"/>
    <s v="Patrick O'Brill"/>
    <x v="0"/>
    <s v="United States"/>
    <x v="3"/>
    <x v="3"/>
    <x v="2"/>
    <s v="FUR-CH-10003312"/>
    <s v="Furniture"/>
    <x v="1"/>
    <s v="Hon 2090 ÒPillow SoftÓ Series Mid Back Swivel/Tilt Chairs"/>
    <n v="786.74400000000003"/>
    <n v="4"/>
    <n v="-258.5016"/>
    <x v="3"/>
    <x v="10"/>
  </r>
  <r>
    <s v="CA-2014-129924"/>
    <x v="56"/>
    <d v="2014-07-17T00:00:00"/>
    <x v="1"/>
    <s v="AC-10420"/>
    <s v="Alyssa Crouse"/>
    <x v="1"/>
    <s v="United States"/>
    <x v="28"/>
    <x v="2"/>
    <x v="1"/>
    <s v="FUR-TA-10004575"/>
    <s v="Furniture"/>
    <x v="2"/>
    <s v="Hon 5100 Series Wood Tables"/>
    <n v="698.35199999999998"/>
    <n v="3"/>
    <n v="-17.4588"/>
    <x v="2"/>
    <x v="3"/>
  </r>
  <r>
    <s v="CA-2016-138520"/>
    <x v="57"/>
    <d v="2016-04-13T00:00:00"/>
    <x v="1"/>
    <s v="JL-15505"/>
    <s v="Jeremy Lonsdale"/>
    <x v="0"/>
    <s v="United States"/>
    <x v="13"/>
    <x v="7"/>
    <x v="2"/>
    <s v="FUR-BO-10002268"/>
    <s v="Furniture"/>
    <x v="0"/>
    <s v="Sauder Barrister Bookcases"/>
    <n v="388.70400000000001"/>
    <n v="6"/>
    <n v="-4.8587999999999996"/>
    <x v="2"/>
    <x v="6"/>
  </r>
  <r>
    <s v="CA-2017-144904"/>
    <x v="58"/>
    <d v="2017-10-01T00:00:00"/>
    <x v="1"/>
    <s v="KW-16435"/>
    <s v="Katrina Willman"/>
    <x v="0"/>
    <s v="United States"/>
    <x v="13"/>
    <x v="7"/>
    <x v="2"/>
    <s v="FUR-CH-10000785"/>
    <s v="Furniture"/>
    <x v="1"/>
    <s v="Global Ergonomic Managers Chair"/>
    <n v="488.64600000000002"/>
    <n v="3"/>
    <n v="86.870400000000004"/>
    <x v="6"/>
    <x v="4"/>
  </r>
  <r>
    <s v="CA-2017-144904"/>
    <x v="58"/>
    <d v="2017-10-01T00:00:00"/>
    <x v="1"/>
    <s v="KW-16435"/>
    <s v="Katrina Willman"/>
    <x v="0"/>
    <s v="United States"/>
    <x v="13"/>
    <x v="7"/>
    <x v="2"/>
    <s v="FUR-FU-10000023"/>
    <s v="Furniture"/>
    <x v="3"/>
    <s v="Eldon Wave Desk Accessories"/>
    <n v="47.12"/>
    <n v="8"/>
    <n v="20.732800000000001"/>
    <x v="6"/>
    <x v="4"/>
  </r>
  <r>
    <s v="CA-2016-155516"/>
    <x v="59"/>
    <d v="2016-10-21T00:00:00"/>
    <x v="3"/>
    <s v="MK-17905"/>
    <s v="Michael Kennedy"/>
    <x v="1"/>
    <s v="United States"/>
    <x v="35"/>
    <x v="19"/>
    <x v="2"/>
    <s v="FUR-BO-10002545"/>
    <s v="Furniture"/>
    <x v="0"/>
    <s v="Atlantic Metals Mobile 3-Shelf Bookcases, Custom Colors"/>
    <n v="1043.92"/>
    <n v="4"/>
    <n v="271.41919999999999"/>
    <x v="7"/>
    <x v="1"/>
  </r>
  <r>
    <s v="US-2017-134481"/>
    <x v="60"/>
    <d v="2017-09-01T00:00:00"/>
    <x v="1"/>
    <s v="AR-10405"/>
    <s v="Allen Rosenblatt"/>
    <x v="1"/>
    <s v="United States"/>
    <x v="20"/>
    <x v="20"/>
    <x v="2"/>
    <s v="FUR-TA-10004915"/>
    <s v="Furniture"/>
    <x v="2"/>
    <s v="Office Impressions End Table, 20-1/2&quot;H x 24&quot;W x 20&quot;D"/>
    <n v="1488.424"/>
    <n v="7"/>
    <n v="-297.6848"/>
    <x v="2"/>
    <x v="10"/>
  </r>
  <r>
    <s v="US-2015-168935"/>
    <x v="61"/>
    <d v="2015-12-02T00:00:00"/>
    <x v="1"/>
    <s v="DO-13435"/>
    <s v="Denny Ordway"/>
    <x v="0"/>
    <s v="United States"/>
    <x v="36"/>
    <x v="1"/>
    <x v="0"/>
    <s v="FUR-TA-10000617"/>
    <s v="Furniture"/>
    <x v="2"/>
    <s v="Hon Practical Foundations 30 x 60 Training Table, Light Gray/Charcoal"/>
    <n v="375.45749999999998"/>
    <n v="3"/>
    <n v="-157.0095"/>
    <x v="2"/>
    <x v="0"/>
  </r>
  <r>
    <s v="CA-2015-122756"/>
    <x v="62"/>
    <d v="2015-12-07T00:00:00"/>
    <x v="1"/>
    <s v="DK-13225"/>
    <s v="Dean Katz"/>
    <x v="1"/>
    <s v="United States"/>
    <x v="3"/>
    <x v="3"/>
    <x v="2"/>
    <s v="FUR-FU-10001935"/>
    <s v="Furniture"/>
    <x v="3"/>
    <s v="3M Hangers With Command Adhesive"/>
    <n v="2.96"/>
    <n v="1"/>
    <n v="0.77700000000000002"/>
    <x v="4"/>
    <x v="5"/>
  </r>
  <r>
    <s v="CA-2016-108987"/>
    <x v="63"/>
    <d v="2016-09-10T00:00:00"/>
    <x v="0"/>
    <s v="AG-10675"/>
    <s v="Anna Gayman"/>
    <x v="0"/>
    <s v="United States"/>
    <x v="6"/>
    <x v="5"/>
    <x v="3"/>
    <s v="FUR-BO-10004834"/>
    <s v="Furniture"/>
    <x v="0"/>
    <s v="Riverside Palais Royal Lawyers Bookcase, Royale Cherry Finish"/>
    <n v="2396.2656000000002"/>
    <n v="4"/>
    <n v="-317.15280000000001"/>
    <x v="3"/>
    <x v="4"/>
  </r>
  <r>
    <s v="CA-2017-117457"/>
    <x v="64"/>
    <d v="2017-12-12T00:00:00"/>
    <x v="1"/>
    <s v="KH-16510"/>
    <s v="Keith Herrera"/>
    <x v="0"/>
    <s v="United States"/>
    <x v="28"/>
    <x v="2"/>
    <x v="1"/>
    <s v="FUR-TA-10002041"/>
    <s v="Furniture"/>
    <x v="2"/>
    <s v="Bevis Round Conference Table Top, X-Base"/>
    <n v="1004.024"/>
    <n v="7"/>
    <n v="-112.95269999999999"/>
    <x v="4"/>
    <x v="5"/>
  </r>
  <r>
    <s v="CA-2017-117457"/>
    <x v="64"/>
    <d v="2017-12-12T00:00:00"/>
    <x v="1"/>
    <s v="KH-16510"/>
    <s v="Keith Herrera"/>
    <x v="0"/>
    <s v="United States"/>
    <x v="28"/>
    <x v="2"/>
    <x v="1"/>
    <s v="FUR-BO-10001972"/>
    <s v="Furniture"/>
    <x v="0"/>
    <s v="O'Sullivan 4-Shelf Bookcase in Odessa Pine"/>
    <n v="1336.829"/>
    <n v="13"/>
    <n v="31.454799999999999"/>
    <x v="4"/>
    <x v="5"/>
  </r>
  <r>
    <s v="CA-2017-117457"/>
    <x v="64"/>
    <d v="2017-12-12T00:00:00"/>
    <x v="1"/>
    <s v="KH-16510"/>
    <s v="Keith Herrera"/>
    <x v="0"/>
    <s v="United States"/>
    <x v="28"/>
    <x v="2"/>
    <x v="1"/>
    <s v="FUR-CH-10003956"/>
    <s v="Furniture"/>
    <x v="1"/>
    <s v="Novimex High-Tech Fabric Mesh Task Chair"/>
    <n v="113.568"/>
    <n v="2"/>
    <n v="-18.454799999999999"/>
    <x v="4"/>
    <x v="5"/>
  </r>
  <r>
    <s v="CA-2017-142636"/>
    <x v="54"/>
    <d v="2017-11-07T00:00:00"/>
    <x v="1"/>
    <s v="KC-16675"/>
    <s v="Kimberly Carter"/>
    <x v="1"/>
    <s v="United States"/>
    <x v="15"/>
    <x v="13"/>
    <x v="1"/>
    <s v="FUR-CH-10001891"/>
    <s v="Furniture"/>
    <x v="1"/>
    <s v="Global Deluxe Office Fabric Chairs"/>
    <n v="307.13600000000002"/>
    <n v="4"/>
    <n v="26.874400000000001"/>
    <x v="4"/>
    <x v="0"/>
  </r>
  <r>
    <s v="CA-2016-148796"/>
    <x v="65"/>
    <d v="2016-04-18T00:00:00"/>
    <x v="1"/>
    <s v="PB-19150"/>
    <s v="Philip Brown"/>
    <x v="0"/>
    <s v="United States"/>
    <x v="2"/>
    <x v="2"/>
    <x v="1"/>
    <s v="FUR-CH-10004886"/>
    <s v="Furniture"/>
    <x v="1"/>
    <s v="Bevis Steel Folding Chairs"/>
    <n v="383.8"/>
    <n v="5"/>
    <n v="38.380000000000003"/>
    <x v="4"/>
    <x v="6"/>
  </r>
  <r>
    <s v="CA-2017-125388"/>
    <x v="66"/>
    <d v="2017-10-23T00:00:00"/>
    <x v="1"/>
    <s v="MP-17965"/>
    <s v="Michael Paige"/>
    <x v="1"/>
    <s v="United States"/>
    <x v="37"/>
    <x v="20"/>
    <x v="2"/>
    <s v="FUR-FU-10004712"/>
    <s v="Furniture"/>
    <x v="3"/>
    <s v="Westinghouse Mesh Shade Clip-On Gooseneck Lamp, Black"/>
    <n v="56.56"/>
    <n v="4"/>
    <n v="14.7056"/>
    <x v="4"/>
    <x v="1"/>
  </r>
  <r>
    <s v="CA-2017-155705"/>
    <x v="67"/>
    <d v="2017-08-23T00:00:00"/>
    <x v="0"/>
    <s v="NF-18385"/>
    <s v="Natalie Fritzler"/>
    <x v="0"/>
    <s v="United States"/>
    <x v="38"/>
    <x v="21"/>
    <x v="0"/>
    <s v="FUR-CH-10000015"/>
    <s v="Furniture"/>
    <x v="1"/>
    <s v="Hon Multipurpose Stacking Arm Chairs"/>
    <n v="866.4"/>
    <n v="4"/>
    <n v="225.26400000000001"/>
    <x v="3"/>
    <x v="10"/>
  </r>
  <r>
    <s v="CA-2017-149160"/>
    <x v="68"/>
    <d v="2017-11-26T00:00:00"/>
    <x v="0"/>
    <s v="JM-15265"/>
    <s v="Janet Molinari"/>
    <x v="1"/>
    <s v="United States"/>
    <x v="39"/>
    <x v="17"/>
    <x v="3"/>
    <s v="FUR-FU-10003347"/>
    <s v="Furniture"/>
    <x v="3"/>
    <s v="Coloredge Poster Frame"/>
    <n v="28.4"/>
    <n v="2"/>
    <n v="11.076000000000001"/>
    <x v="0"/>
    <x v="0"/>
  </r>
  <r>
    <s v="CA-2017-157252"/>
    <x v="69"/>
    <d v="2017-01-23T00:00:00"/>
    <x v="0"/>
    <s v="CV-12805"/>
    <s v="Cynthia Voltz"/>
    <x v="1"/>
    <s v="United States"/>
    <x v="13"/>
    <x v="7"/>
    <x v="2"/>
    <s v="FUR-CH-10003396"/>
    <s v="Furniture"/>
    <x v="1"/>
    <s v="Global Deluxe Steno Chair"/>
    <n v="207.846"/>
    <n v="3"/>
    <n v="2.3094000000000001"/>
    <x v="0"/>
    <x v="8"/>
  </r>
  <r>
    <s v="CA-2016-115756"/>
    <x v="26"/>
    <d v="2016-09-07T00:00:00"/>
    <x v="0"/>
    <s v="PK-19075"/>
    <s v="Pete Kriz"/>
    <x v="0"/>
    <s v="United States"/>
    <x v="25"/>
    <x v="17"/>
    <x v="3"/>
    <s v="FUR-FU-10000246"/>
    <s v="Furniture"/>
    <x v="3"/>
    <s v="Aluminum Document Frame"/>
    <n v="12.22"/>
    <n v="1"/>
    <n v="3.6659999999999999"/>
    <x v="3"/>
    <x v="4"/>
  </r>
  <r>
    <s v="CA-2016-115756"/>
    <x v="26"/>
    <d v="2016-09-07T00:00:00"/>
    <x v="0"/>
    <s v="PK-19075"/>
    <s v="Pete Kriz"/>
    <x v="0"/>
    <s v="United States"/>
    <x v="25"/>
    <x v="17"/>
    <x v="3"/>
    <s v="FUR-CH-10002372"/>
    <s v="Furniture"/>
    <x v="1"/>
    <s v="Office Star - Ergonomically Designed Knee Chair"/>
    <n v="242.94"/>
    <n v="3"/>
    <n v="29.152799999999999"/>
    <x v="3"/>
    <x v="4"/>
  </r>
  <r>
    <s v="CA-2017-154214"/>
    <x v="70"/>
    <d v="2017-03-25T00:00:00"/>
    <x v="0"/>
    <s v="TB-21595"/>
    <s v="Troy Blackwell"/>
    <x v="0"/>
    <s v="United States"/>
    <x v="29"/>
    <x v="6"/>
    <x v="3"/>
    <s v="FUR-FU-10000206"/>
    <s v="Furniture"/>
    <x v="3"/>
    <s v="GE General Purpose, Extra Long Life, Showcase &amp; Floodlight Incandescent Bulbs"/>
    <n v="2.91"/>
    <n v="1"/>
    <n v="1.3676999999999999"/>
    <x v="2"/>
    <x v="9"/>
  </r>
  <r>
    <s v="CA-2017-147277"/>
    <x v="71"/>
    <d v="2017-10-24T00:00:00"/>
    <x v="1"/>
    <s v="EB-13705"/>
    <s v="Ed Braxton"/>
    <x v="1"/>
    <s v="United States"/>
    <x v="40"/>
    <x v="15"/>
    <x v="2"/>
    <s v="FUR-TA-10001539"/>
    <s v="Furniture"/>
    <x v="2"/>
    <s v="Chromcraft Rectangular Conference Tables"/>
    <n v="284.36399999999998"/>
    <n v="2"/>
    <n v="-75.830399999999997"/>
    <x v="4"/>
    <x v="1"/>
  </r>
  <r>
    <s v="US-2014-110674"/>
    <x v="72"/>
    <d v="2014-02-18T00:00:00"/>
    <x v="1"/>
    <s v="SC-20095"/>
    <s v="Sanjit Chand"/>
    <x v="0"/>
    <s v="United States"/>
    <x v="41"/>
    <x v="2"/>
    <x v="1"/>
    <s v="FUR-CH-10000225"/>
    <s v="Furniture"/>
    <x v="1"/>
    <s v="Global Geo Office Task Chair, Gray"/>
    <n v="129.56800000000001"/>
    <n v="2"/>
    <n v="-24.294"/>
    <x v="6"/>
    <x v="11"/>
  </r>
  <r>
    <s v="US-2016-157945"/>
    <x v="73"/>
    <d v="2016-10-01T00:00:00"/>
    <x v="1"/>
    <s v="NF-18385"/>
    <s v="Natalie Fritzler"/>
    <x v="0"/>
    <s v="United States"/>
    <x v="42"/>
    <x v="8"/>
    <x v="3"/>
    <s v="FUR-CH-10002331"/>
    <s v="Furniture"/>
    <x v="1"/>
    <s v="Hon 4700 Series Mobuis Mid-Back Task Chairs with Adjustable Arms"/>
    <n v="747.55799999999999"/>
    <n v="3"/>
    <n v="-96.114599999999996"/>
    <x v="2"/>
    <x v="4"/>
  </r>
  <r>
    <s v="CA-2016-109869"/>
    <x v="74"/>
    <d v="2016-04-29T00:00:00"/>
    <x v="1"/>
    <s v="TN-21040"/>
    <s v="Tanja Norvell"/>
    <x v="2"/>
    <s v="United States"/>
    <x v="43"/>
    <x v="22"/>
    <x v="1"/>
    <s v="FUR-FU-10000023"/>
    <s v="Furniture"/>
    <x v="3"/>
    <s v="Eldon Wave Desk Accessories"/>
    <n v="23.56"/>
    <n v="5"/>
    <n v="7.0679999999999996"/>
    <x v="1"/>
    <x v="6"/>
  </r>
  <r>
    <s v="CA-2016-109869"/>
    <x v="74"/>
    <d v="2016-04-29T00:00:00"/>
    <x v="1"/>
    <s v="TN-21040"/>
    <s v="Tanja Norvell"/>
    <x v="2"/>
    <s v="United States"/>
    <x v="43"/>
    <x v="22"/>
    <x v="1"/>
    <s v="FUR-TA-10001889"/>
    <s v="Furniture"/>
    <x v="2"/>
    <s v="Bush Advantage Collection Racetrack Conference Table"/>
    <n v="1272.6300000000001"/>
    <n v="6"/>
    <n v="-814.48320000000001"/>
    <x v="1"/>
    <x v="6"/>
  </r>
  <r>
    <s v="US-2015-101399"/>
    <x v="75"/>
    <d v="2015-01-24T00:00:00"/>
    <x v="1"/>
    <s v="JS-15940"/>
    <s v="Joni Sundaresam"/>
    <x v="2"/>
    <s v="United States"/>
    <x v="44"/>
    <x v="8"/>
    <x v="3"/>
    <s v="FUR-FU-10002918"/>
    <s v="Furniture"/>
    <x v="3"/>
    <s v="Eldon ClusterMat Chair Mat with Cordless Antistatic Protection"/>
    <n v="254.744"/>
    <n v="7"/>
    <n v="-312.06139999999999"/>
    <x v="1"/>
    <x v="8"/>
  </r>
  <r>
    <s v="CA-2017-154907"/>
    <x v="76"/>
    <d v="2017-04-04T00:00:00"/>
    <x v="1"/>
    <s v="DS-13180"/>
    <s v="David Smith"/>
    <x v="1"/>
    <s v="United States"/>
    <x v="45"/>
    <x v="5"/>
    <x v="3"/>
    <s v="FUR-BO-10002824"/>
    <s v="Furniture"/>
    <x v="0"/>
    <s v="Bush Mission Pointe Library"/>
    <n v="205.33279999999999"/>
    <n v="2"/>
    <n v="-36.235199999999999"/>
    <x v="4"/>
    <x v="9"/>
  </r>
  <r>
    <s v="CA-2014-144666"/>
    <x v="77"/>
    <d v="2014-11-11T00:00:00"/>
    <x v="0"/>
    <s v="JP-15520"/>
    <s v="Jeremy Pistek"/>
    <x v="0"/>
    <s v="United States"/>
    <x v="28"/>
    <x v="2"/>
    <x v="1"/>
    <s v="FUR-BO-10001601"/>
    <s v="Furniture"/>
    <x v="0"/>
    <s v="Sauder Mission Library with Doors, Fruitwood Finish"/>
    <n v="222.666"/>
    <n v="2"/>
    <n v="10.478400000000001"/>
    <x v="3"/>
    <x v="0"/>
  </r>
  <r>
    <s v="CA-2016-152632"/>
    <x v="78"/>
    <d v="2016-11-02T00:00:00"/>
    <x v="1"/>
    <s v="JE-15475"/>
    <s v="Jeremy Ellison"/>
    <x v="0"/>
    <s v="United States"/>
    <x v="8"/>
    <x v="7"/>
    <x v="2"/>
    <s v="FUR-FU-10002671"/>
    <s v="Furniture"/>
    <x v="3"/>
    <s v="Electrix 20W Halogen Replacement Bulb for Zoom-In Desk Lamp"/>
    <n v="40.200000000000003"/>
    <n v="3"/>
    <n v="19.295999999999999"/>
    <x v="6"/>
    <x v="1"/>
  </r>
  <r>
    <s v="CA-2017-140963"/>
    <x v="79"/>
    <d v="2017-06-13T00:00:00"/>
    <x v="2"/>
    <s v="MT-18070"/>
    <s v="Michelle Tran"/>
    <x v="2"/>
    <s v="United States"/>
    <x v="2"/>
    <x v="2"/>
    <x v="1"/>
    <s v="FUR-BO-10001337"/>
    <s v="Furniture"/>
    <x v="0"/>
    <s v="O'Sullivan Living Dimensions 2-Shelf Bookcases"/>
    <n v="514.16499999999996"/>
    <n v="5"/>
    <n v="-30.245000000000001"/>
    <x v="0"/>
    <x v="2"/>
  </r>
  <r>
    <s v="US-2016-120929"/>
    <x v="80"/>
    <d v="2016-03-21T00:00:00"/>
    <x v="0"/>
    <s v="RO-19780"/>
    <s v="Rose O'Brian"/>
    <x v="0"/>
    <s v="United States"/>
    <x v="10"/>
    <x v="9"/>
    <x v="0"/>
    <s v="FUR-TA-10001857"/>
    <s v="Furniture"/>
    <x v="2"/>
    <s v="Balt Solid Wood Rectangular Table"/>
    <n v="189.88200000000001"/>
    <n v="3"/>
    <n v="-94.941000000000003"/>
    <x v="0"/>
    <x v="9"/>
  </r>
  <r>
    <s v="CA-2016-126158"/>
    <x v="81"/>
    <d v="2016-07-31T00:00:00"/>
    <x v="1"/>
    <s v="SC-20095"/>
    <s v="Sanjit Chand"/>
    <x v="0"/>
    <s v="United States"/>
    <x v="46"/>
    <x v="2"/>
    <x v="1"/>
    <s v="FUR-FU-10004864"/>
    <s v="Furniture"/>
    <x v="3"/>
    <s v="Howard Miller 14-1/2&quot; Diameter Chrome Round Wall Clock"/>
    <n v="255.76"/>
    <n v="4"/>
    <n v="81.843199999999996"/>
    <x v="6"/>
    <x v="3"/>
  </r>
  <r>
    <s v="CA-2016-126158"/>
    <x v="81"/>
    <d v="2016-07-31T00:00:00"/>
    <x v="1"/>
    <s v="SC-20095"/>
    <s v="Sanjit Chand"/>
    <x v="0"/>
    <s v="United States"/>
    <x v="46"/>
    <x v="2"/>
    <x v="1"/>
    <s v="FUR-CH-10002602"/>
    <s v="Furniture"/>
    <x v="1"/>
    <s v="DMI Arturo Collection Mission-style Design Wood Chair"/>
    <n v="241.56800000000001"/>
    <n v="2"/>
    <n v="18.117599999999999"/>
    <x v="6"/>
    <x v="3"/>
  </r>
  <r>
    <s v="CA-2016-126158"/>
    <x v="81"/>
    <d v="2016-07-31T00:00:00"/>
    <x v="1"/>
    <s v="SC-20095"/>
    <s v="Sanjit Chand"/>
    <x v="0"/>
    <s v="United States"/>
    <x v="46"/>
    <x v="2"/>
    <x v="1"/>
    <s v="FUR-FU-10000073"/>
    <s v="Furniture"/>
    <x v="3"/>
    <s v="Deflect-O Glasstique Clear Desk Accessories"/>
    <n v="69.3"/>
    <n v="9"/>
    <n v="22.869"/>
    <x v="6"/>
    <x v="3"/>
  </r>
  <r>
    <s v="US-2016-105578"/>
    <x v="82"/>
    <d v="2016-06-04T00:00:00"/>
    <x v="1"/>
    <s v="MY-17380"/>
    <s v="Maribeth Yedwab"/>
    <x v="1"/>
    <s v="United States"/>
    <x v="47"/>
    <x v="12"/>
    <x v="1"/>
    <s v="FUR-CH-10001215"/>
    <s v="Furniture"/>
    <x v="1"/>
    <s v="Global Troy Executive Leather Low-Back Tilter"/>
    <n v="801.56799999999998"/>
    <n v="2"/>
    <n v="50.097999999999999"/>
    <x v="2"/>
    <x v="7"/>
  </r>
  <r>
    <s v="CA-2017-135307"/>
    <x v="83"/>
    <d v="2017-11-27T00:00:00"/>
    <x v="2"/>
    <s v="LS-17245"/>
    <s v="Lynn Smith"/>
    <x v="0"/>
    <s v="United States"/>
    <x v="48"/>
    <x v="23"/>
    <x v="3"/>
    <s v="FUR-FU-10001290"/>
    <s v="Furniture"/>
    <x v="3"/>
    <s v="Executive Impressions Supervisor Wall Clock"/>
    <n v="126.3"/>
    <n v="3"/>
    <n v="40.415999999999997"/>
    <x v="5"/>
    <x v="0"/>
  </r>
  <r>
    <s v="CA-2017-145142"/>
    <x v="84"/>
    <d v="2017-01-25T00:00:00"/>
    <x v="2"/>
    <s v="MC-17605"/>
    <s v="Matt Connell"/>
    <x v="1"/>
    <s v="United States"/>
    <x v="25"/>
    <x v="17"/>
    <x v="3"/>
    <s v="FUR-TA-10001857"/>
    <s v="Furniture"/>
    <x v="2"/>
    <s v="Balt Solid Wood Rectangular Table"/>
    <n v="210.98"/>
    <n v="2"/>
    <n v="21.097999999999999"/>
    <x v="3"/>
    <x v="8"/>
  </r>
  <r>
    <s v="CA-2017-113558"/>
    <x v="85"/>
    <d v="2017-10-26T00:00:00"/>
    <x v="1"/>
    <s v="PH-18790"/>
    <s v="Patricia Hirasaki"/>
    <x v="2"/>
    <s v="United States"/>
    <x v="49"/>
    <x v="1"/>
    <x v="0"/>
    <s v="FUR-CH-10003379"/>
    <s v="Furniture"/>
    <x v="1"/>
    <s v="Global Commerce Series High-Back Swivel/Tilt Chairs"/>
    <n v="683.952"/>
    <n v="3"/>
    <n v="42.747"/>
    <x v="2"/>
    <x v="1"/>
  </r>
  <r>
    <s v="CA-2017-113558"/>
    <x v="85"/>
    <d v="2017-10-26T00:00:00"/>
    <x v="1"/>
    <s v="PH-18790"/>
    <s v="Patricia Hirasaki"/>
    <x v="2"/>
    <s v="United States"/>
    <x v="49"/>
    <x v="1"/>
    <x v="0"/>
    <s v="FUR-FU-10001756"/>
    <s v="Furniture"/>
    <x v="3"/>
    <s v="Eldon Expressions Desk Accessory, Wood Photo Frame, Mahogany"/>
    <n v="45.695999999999998"/>
    <n v="3"/>
    <n v="5.1407999999999996"/>
    <x v="2"/>
    <x v="1"/>
  </r>
  <r>
    <s v="CA-2015-102848"/>
    <x v="86"/>
    <d v="2015-11-09T00:00:00"/>
    <x v="0"/>
    <s v="KB-16240"/>
    <s v="Karen Bern"/>
    <x v="1"/>
    <s v="United States"/>
    <x v="2"/>
    <x v="2"/>
    <x v="1"/>
    <s v="FUR-CH-10000595"/>
    <s v="Furniture"/>
    <x v="1"/>
    <s v="Safco Contoured Stacking Chairs"/>
    <n v="190.72"/>
    <n v="1"/>
    <n v="11.92"/>
    <x v="3"/>
    <x v="0"/>
  </r>
  <r>
    <s v="US-2017-129441"/>
    <x v="87"/>
    <d v="2017-09-11T00:00:00"/>
    <x v="1"/>
    <s v="JC-15340"/>
    <s v="Jasper Cacioppo"/>
    <x v="0"/>
    <s v="United States"/>
    <x v="2"/>
    <x v="2"/>
    <x v="1"/>
    <s v="FUR-FU-10000448"/>
    <s v="Furniture"/>
    <x v="3"/>
    <s v="Tenex Chairmats For Use With Carpeted Floors"/>
    <n v="47.94"/>
    <n v="3"/>
    <n v="2.3969999999999998"/>
    <x v="4"/>
    <x v="4"/>
  </r>
  <r>
    <s v="CA-2015-134894"/>
    <x v="88"/>
    <d v="2015-12-11T00:00:00"/>
    <x v="1"/>
    <s v="DK-12985"/>
    <s v="Darren Koutras"/>
    <x v="0"/>
    <s v="United States"/>
    <x v="0"/>
    <x v="0"/>
    <x v="0"/>
    <s v="FUR-CH-10002647"/>
    <s v="Furniture"/>
    <x v="1"/>
    <s v="Situations Contoured Folding Chairs, 4/Set"/>
    <n v="283.92"/>
    <n v="4"/>
    <n v="70.98"/>
    <x v="4"/>
    <x v="5"/>
  </r>
  <r>
    <s v="CA-2014-103849"/>
    <x v="89"/>
    <d v="2014-05-16T00:00:00"/>
    <x v="1"/>
    <s v="PG-18895"/>
    <s v="Paul Gonzalez"/>
    <x v="0"/>
    <s v="United States"/>
    <x v="50"/>
    <x v="5"/>
    <x v="3"/>
    <s v="FUR-FU-10000723"/>
    <s v="Furniture"/>
    <x v="3"/>
    <s v="Deflect-o EconoMat Studded, No Bevel Mat for Low Pile Carpeting"/>
    <n v="66.111999999999995"/>
    <n v="4"/>
    <n v="-84.2928"/>
    <x v="2"/>
    <x v="7"/>
  </r>
  <r>
    <s v="CA-2016-136406"/>
    <x v="90"/>
    <d v="2016-04-17T00:00:00"/>
    <x v="0"/>
    <s v="BD-11320"/>
    <s v="Bill Donatelli"/>
    <x v="0"/>
    <s v="United States"/>
    <x v="28"/>
    <x v="2"/>
    <x v="1"/>
    <s v="FUR-CH-10002024"/>
    <s v="Furniture"/>
    <x v="1"/>
    <s v="HON 5400 Series Task Chairs for Big and Tall"/>
    <n v="1121.568"/>
    <n v="2"/>
    <n v="0"/>
    <x v="3"/>
    <x v="6"/>
  </r>
  <r>
    <s v="CA-2017-112774"/>
    <x v="91"/>
    <d v="2017-09-12T00:00:00"/>
    <x v="2"/>
    <s v="RC-19960"/>
    <s v="Ryan Crowe"/>
    <x v="0"/>
    <s v="United States"/>
    <x v="51"/>
    <x v="1"/>
    <x v="0"/>
    <s v="FUR-FU-10003039"/>
    <s v="Furniture"/>
    <x v="3"/>
    <s v="Howard Miller 11-1/2&quot; Diameter Grantwood Wall Clock"/>
    <n v="34.503999999999998"/>
    <n v="1"/>
    <n v="6.0381999999999998"/>
    <x v="5"/>
    <x v="4"/>
  </r>
  <r>
    <s v="CA-2016-113243"/>
    <x v="92"/>
    <d v="2016-06-15T00:00:00"/>
    <x v="1"/>
    <s v="OT-18730"/>
    <s v="Olvera Toch"/>
    <x v="0"/>
    <s v="United States"/>
    <x v="2"/>
    <x v="2"/>
    <x v="1"/>
    <s v="FUR-TA-10004256"/>
    <s v="Furniture"/>
    <x v="2"/>
    <s v="Bretford ÒJust In TimeÓ Height-Adjustable Multi-Task Work Tables"/>
    <n v="1335.68"/>
    <n v="4"/>
    <n v="-217.048"/>
    <x v="2"/>
    <x v="2"/>
  </r>
  <r>
    <s v="CA-2017-118731"/>
    <x v="93"/>
    <d v="2017-11-22T00:00:00"/>
    <x v="0"/>
    <s v="LP-17080"/>
    <s v="Liz Pelletier"/>
    <x v="0"/>
    <s v="United States"/>
    <x v="28"/>
    <x v="2"/>
    <x v="1"/>
    <s v="FUR-FU-10003347"/>
    <s v="Furniture"/>
    <x v="3"/>
    <s v="Coloredge Poster Frame"/>
    <n v="42.6"/>
    <n v="3"/>
    <n v="16.614000000000001"/>
    <x v="3"/>
    <x v="0"/>
  </r>
  <r>
    <s v="CA-2014-145576"/>
    <x v="94"/>
    <d v="2014-09-18T00:00:00"/>
    <x v="0"/>
    <s v="CA-12775"/>
    <s v="Cynthia Arntzen"/>
    <x v="0"/>
    <s v="United States"/>
    <x v="26"/>
    <x v="1"/>
    <x v="0"/>
    <s v="FUR-FU-10004020"/>
    <s v="Furniture"/>
    <x v="3"/>
    <s v="Advantus Panel Wall Acrylic Frame"/>
    <n v="13.128"/>
    <n v="3"/>
    <n v="3.7743000000000002"/>
    <x v="4"/>
    <x v="4"/>
  </r>
  <r>
    <s v="CA-2017-156951"/>
    <x v="95"/>
    <d v="2017-10-08T00:00:00"/>
    <x v="1"/>
    <s v="EB-13840"/>
    <s v="Ellis Ballard"/>
    <x v="1"/>
    <s v="United States"/>
    <x v="15"/>
    <x v="13"/>
    <x v="1"/>
    <s v="FUR-CH-10004997"/>
    <s v="Furniture"/>
    <x v="1"/>
    <s v="Hon Every-Day Series Multi-Task Chairs"/>
    <n v="451.15199999999999"/>
    <n v="3"/>
    <n v="0"/>
    <x v="1"/>
    <x v="1"/>
  </r>
  <r>
    <s v="CA-2017-118640"/>
    <x v="96"/>
    <d v="2017-07-26T00:00:00"/>
    <x v="1"/>
    <s v="CS-11950"/>
    <s v="Carlos Soltero"/>
    <x v="0"/>
    <s v="United States"/>
    <x v="9"/>
    <x v="8"/>
    <x v="3"/>
    <s v="FUR-FU-10001475"/>
    <s v="Furniture"/>
    <x v="3"/>
    <s v="Contract Clock, 14&quot;, Brown"/>
    <n v="8.7919999999999998"/>
    <n v="1"/>
    <n v="-5.7148000000000003"/>
    <x v="6"/>
    <x v="3"/>
  </r>
  <r>
    <s v="CA-2015-128139"/>
    <x v="97"/>
    <d v="2015-07-09T00:00:00"/>
    <x v="1"/>
    <s v="BD-11725"/>
    <s v="Bruce Degenhardt"/>
    <x v="0"/>
    <s v="United States"/>
    <x v="52"/>
    <x v="0"/>
    <x v="0"/>
    <s v="FUR-CH-10003956"/>
    <s v="Furniture"/>
    <x v="1"/>
    <s v="Novimex High-Tech Fabric Mesh Task Chair"/>
    <n v="70.98"/>
    <n v="1"/>
    <n v="4.9686000000000003"/>
    <x v="6"/>
    <x v="3"/>
  </r>
  <r>
    <s v="CA-2014-131450"/>
    <x v="98"/>
    <d v="2014-08-15T00:00:00"/>
    <x v="1"/>
    <s v="LR-16915"/>
    <s v="Lena Radford"/>
    <x v="0"/>
    <s v="United States"/>
    <x v="53"/>
    <x v="2"/>
    <x v="1"/>
    <s v="FUR-FU-10001979"/>
    <s v="Furniture"/>
    <x v="3"/>
    <s v="Dana Halogen Swing-Arm Architect Lamp"/>
    <n v="327.76"/>
    <n v="8"/>
    <n v="91.772800000000004"/>
    <x v="1"/>
    <x v="10"/>
  </r>
  <r>
    <s v="CA-2014-149958"/>
    <x v="99"/>
    <d v="2014-03-19T00:00:00"/>
    <x v="1"/>
    <s v="AS-10240"/>
    <s v="Alan Shonely"/>
    <x v="0"/>
    <s v="United States"/>
    <x v="26"/>
    <x v="1"/>
    <x v="0"/>
    <s v="FUR-FU-10001756"/>
    <s v="Furniture"/>
    <x v="3"/>
    <s v="Eldon Expressions Desk Accessory, Wood Photo Frame, Mahogany"/>
    <n v="45.695999999999998"/>
    <n v="3"/>
    <n v="5.1407999999999996"/>
    <x v="4"/>
    <x v="9"/>
  </r>
  <r>
    <s v="CA-2017-117947"/>
    <x v="100"/>
    <d v="2017-08-23T00:00:00"/>
    <x v="0"/>
    <s v="NG-18355"/>
    <s v="Nat Gilpin"/>
    <x v="1"/>
    <s v="United States"/>
    <x v="13"/>
    <x v="7"/>
    <x v="2"/>
    <s v="FUR-FU-10003849"/>
    <s v="Furniture"/>
    <x v="3"/>
    <s v="DAX Metal Frame, Desktop, Stepped-Edge"/>
    <n v="40.479999999999997"/>
    <n v="2"/>
    <n v="15.7872"/>
    <x v="2"/>
    <x v="10"/>
  </r>
  <r>
    <s v="CA-2017-117947"/>
    <x v="100"/>
    <d v="2017-08-23T00:00:00"/>
    <x v="0"/>
    <s v="NG-18355"/>
    <s v="Nat Gilpin"/>
    <x v="1"/>
    <s v="United States"/>
    <x v="13"/>
    <x v="7"/>
    <x v="2"/>
    <s v="FUR-FU-10000010"/>
    <s v="Furniture"/>
    <x v="3"/>
    <s v="DAX Value U-Channel Document Frames, Easel Back"/>
    <n v="9.94"/>
    <n v="2"/>
    <n v="3.0813999999999999"/>
    <x v="2"/>
    <x v="10"/>
  </r>
  <r>
    <s v="CA-2017-117947"/>
    <x v="100"/>
    <d v="2017-08-23T00:00:00"/>
    <x v="0"/>
    <s v="NG-18355"/>
    <s v="Nat Gilpin"/>
    <x v="1"/>
    <s v="United States"/>
    <x v="13"/>
    <x v="7"/>
    <x v="2"/>
    <s v="FUR-FU-10000521"/>
    <s v="Furniture"/>
    <x v="3"/>
    <s v="Seth Thomas 14&quot; Putty-Colored Wall Clock"/>
    <n v="88.02"/>
    <n v="3"/>
    <n v="27.286200000000001"/>
    <x v="2"/>
    <x v="10"/>
  </r>
  <r>
    <s v="CA-2015-138009"/>
    <x v="101"/>
    <d v="2015-12-03T00:00:00"/>
    <x v="1"/>
    <s v="SF-20965"/>
    <s v="Sylvia Foulston"/>
    <x v="1"/>
    <s v="United States"/>
    <x v="54"/>
    <x v="17"/>
    <x v="3"/>
    <s v="FUR-CH-10004853"/>
    <s v="Furniture"/>
    <x v="1"/>
    <s v="Global Manager's Adjustable Task Chair, Storm"/>
    <n v="301.95999999999998"/>
    <n v="2"/>
    <n v="87.568399999999997"/>
    <x v="4"/>
    <x v="0"/>
  </r>
  <r>
    <s v="CA-2017-163020"/>
    <x v="102"/>
    <d v="2017-09-19T00:00:00"/>
    <x v="1"/>
    <s v="MO-17800"/>
    <s v="Meg O'Connel"/>
    <x v="2"/>
    <s v="United States"/>
    <x v="13"/>
    <x v="7"/>
    <x v="2"/>
    <s v="FUR-FU-10000221"/>
    <s v="Furniture"/>
    <x v="3"/>
    <s v="Master Caster Door Stop, Brown"/>
    <n v="35.56"/>
    <n v="7"/>
    <n v="12.090400000000001"/>
    <x v="4"/>
    <x v="4"/>
  </r>
  <r>
    <s v="CA-2015-168004"/>
    <x v="103"/>
    <d v="2015-10-09T00:00:00"/>
    <x v="0"/>
    <s v="DJ-13420"/>
    <s v="Denny Joy"/>
    <x v="1"/>
    <s v="United States"/>
    <x v="55"/>
    <x v="24"/>
    <x v="0"/>
    <s v="FUR-CH-10001482"/>
    <s v="Furniture"/>
    <x v="1"/>
    <s v="Office Star - Mesh Screen back chair with Vinyl seat"/>
    <n v="392.94"/>
    <n v="3"/>
    <n v="43.223399999999998"/>
    <x v="2"/>
    <x v="1"/>
  </r>
  <r>
    <s v="CA-2016-115917"/>
    <x v="104"/>
    <d v="2016-05-25T00:00:00"/>
    <x v="1"/>
    <s v="RB-19465"/>
    <s v="Rick Bensley"/>
    <x v="2"/>
    <s v="United States"/>
    <x v="56"/>
    <x v="2"/>
    <x v="1"/>
    <s v="FUR-FU-10000576"/>
    <s v="Furniture"/>
    <x v="3"/>
    <s v="Luxo Professional Fluorescent Magnifier Lamp with Clamp-Mount Base"/>
    <n v="1049.2"/>
    <n v="5"/>
    <n v="272.79199999999997"/>
    <x v="2"/>
    <x v="7"/>
  </r>
  <r>
    <s v="CA-2016-147067"/>
    <x v="105"/>
    <d v="2016-12-22T00:00:00"/>
    <x v="1"/>
    <s v="JD-16150"/>
    <s v="Justin Deggeller"/>
    <x v="1"/>
    <s v="United States"/>
    <x v="12"/>
    <x v="11"/>
    <x v="3"/>
    <s v="FUR-FU-10000732"/>
    <s v="Furniture"/>
    <x v="3"/>
    <s v="Eldon 200 Class Desk Accessories"/>
    <n v="18.84"/>
    <n v="3"/>
    <n v="6.0288000000000004"/>
    <x v="4"/>
    <x v="5"/>
  </r>
  <r>
    <s v="CA-2016-160745"/>
    <x v="106"/>
    <d v="2016-12-16T00:00:00"/>
    <x v="0"/>
    <s v="AR-10825"/>
    <s v="Anthony Rawles"/>
    <x v="1"/>
    <s v="United States"/>
    <x v="57"/>
    <x v="13"/>
    <x v="1"/>
    <s v="FUR-FU-10001935"/>
    <s v="Furniture"/>
    <x v="3"/>
    <s v="3M Hangers With Command Adhesive"/>
    <n v="14.8"/>
    <n v="4"/>
    <n v="6.0679999999999996"/>
    <x v="2"/>
    <x v="5"/>
  </r>
  <r>
    <s v="US-2016-156097"/>
    <x v="107"/>
    <d v="2016-09-19T00:00:00"/>
    <x v="3"/>
    <s v="EH-14125"/>
    <s v="Eugene Hildebrand"/>
    <x v="2"/>
    <s v="United States"/>
    <x v="14"/>
    <x v="8"/>
    <x v="3"/>
    <s v="FUR-CH-10001215"/>
    <s v="Furniture"/>
    <x v="1"/>
    <s v="Global Troy Executive Leather Low-Back Tilter"/>
    <n v="701.37199999999996"/>
    <n v="2"/>
    <n v="-50.097999999999999"/>
    <x v="7"/>
    <x v="4"/>
  </r>
  <r>
    <s v="CA-2015-146563"/>
    <x v="108"/>
    <d v="2015-08-28T00:00:00"/>
    <x v="1"/>
    <s v="CB-12025"/>
    <s v="Cassandra Brandow"/>
    <x v="0"/>
    <s v="United States"/>
    <x v="58"/>
    <x v="5"/>
    <x v="3"/>
    <s v="FUR-TA-10001768"/>
    <s v="Furniture"/>
    <x v="2"/>
    <s v="Hon Racetrack Conference Tables"/>
    <n v="918.78499999999997"/>
    <n v="5"/>
    <n v="-118.12949999999999"/>
    <x v="4"/>
    <x v="10"/>
  </r>
  <r>
    <s v="CA-2014-156314"/>
    <x v="109"/>
    <d v="2014-12-26T00:00:00"/>
    <x v="2"/>
    <s v="RP-19390"/>
    <s v="Resi Pšlking"/>
    <x v="0"/>
    <s v="United States"/>
    <x v="59"/>
    <x v="15"/>
    <x v="2"/>
    <s v="FUR-FU-10003096"/>
    <s v="Furniture"/>
    <x v="3"/>
    <s v="Master Giant Foot Doorstop, Safety Yellow"/>
    <n v="30.36"/>
    <n v="5"/>
    <n v="8.7285000000000004"/>
    <x v="3"/>
    <x v="5"/>
  </r>
  <r>
    <s v="US-2017-106663"/>
    <x v="110"/>
    <d v="2017-06-13T00:00:00"/>
    <x v="1"/>
    <s v="MO-17800"/>
    <s v="Meg O'Connel"/>
    <x v="2"/>
    <s v="United States"/>
    <x v="9"/>
    <x v="8"/>
    <x v="3"/>
    <s v="FUR-FU-10002759"/>
    <s v="Furniture"/>
    <x v="3"/>
    <s v="12-1/2 Diameter Round Wall Clock"/>
    <n v="23.975999999999999"/>
    <n v="3"/>
    <n v="-14.3856"/>
    <x v="4"/>
    <x v="2"/>
  </r>
  <r>
    <s v="US-2017-106663"/>
    <x v="110"/>
    <d v="2017-06-13T00:00:00"/>
    <x v="1"/>
    <s v="MO-17800"/>
    <s v="Meg O'Connel"/>
    <x v="2"/>
    <s v="United States"/>
    <x v="9"/>
    <x v="8"/>
    <x v="3"/>
    <s v="FUR-TA-10000688"/>
    <s v="Furniture"/>
    <x v="2"/>
    <s v="Chromcraft Bull-Nose Wood Round Conference Table Top, Wood Base"/>
    <n v="108.925"/>
    <n v="1"/>
    <n v="-71.890500000000003"/>
    <x v="4"/>
    <x v="2"/>
  </r>
  <r>
    <s v="US-2017-119438"/>
    <x v="111"/>
    <d v="2017-03-23T00:00:00"/>
    <x v="1"/>
    <s v="CD-11980"/>
    <s v="Carol Darley"/>
    <x v="0"/>
    <s v="United States"/>
    <x v="60"/>
    <x v="5"/>
    <x v="3"/>
    <s v="FUR-FU-10003553"/>
    <s v="Furniture"/>
    <x v="3"/>
    <s v="Howard Miller 13-1/2&quot; Diameter Rosebrook Wall Clock"/>
    <n v="82.524000000000001"/>
    <n v="3"/>
    <n v="-41.262"/>
    <x v="2"/>
    <x v="9"/>
  </r>
  <r>
    <s v="CA-2017-161480"/>
    <x v="19"/>
    <d v="2017-12-29T00:00:00"/>
    <x v="1"/>
    <s v="RA-19285"/>
    <s v="Ralph Arnett"/>
    <x v="0"/>
    <s v="United States"/>
    <x v="13"/>
    <x v="7"/>
    <x v="2"/>
    <s v="FUR-BO-10004015"/>
    <s v="Furniture"/>
    <x v="0"/>
    <s v="Bush Andora Bookcase, Maple/Graphite Gray Finish"/>
    <n v="191.98400000000001"/>
    <n v="2"/>
    <n v="4.7995999999999999"/>
    <x v="4"/>
    <x v="5"/>
  </r>
  <r>
    <s v="US-2014-117135"/>
    <x v="112"/>
    <d v="2014-06-23T00:00:00"/>
    <x v="0"/>
    <s v="NP-18325"/>
    <s v="Naresj Patel"/>
    <x v="0"/>
    <s v="United States"/>
    <x v="61"/>
    <x v="25"/>
    <x v="0"/>
    <s v="FUR-FU-10004071"/>
    <s v="Furniture"/>
    <x v="3"/>
    <s v="Luxo Professional Magnifying Clamp-On Fluorescent Lamps"/>
    <n v="104.01"/>
    <n v="1"/>
    <n v="14.561400000000001"/>
    <x v="3"/>
    <x v="2"/>
  </r>
  <r>
    <s v="CA-2017-114552"/>
    <x v="113"/>
    <d v="2017-09-08T00:00:00"/>
    <x v="1"/>
    <s v="Dl-13600"/>
    <s v="Dorris liebe"/>
    <x v="1"/>
    <s v="United States"/>
    <x v="59"/>
    <x v="15"/>
    <x v="2"/>
    <s v="FUR-FU-10002960"/>
    <s v="Furniture"/>
    <x v="3"/>
    <s v="Eldon 200 Class Desk Accessories, Burgundy"/>
    <n v="15.071999999999999"/>
    <n v="3"/>
    <n v="4.1448"/>
    <x v="6"/>
    <x v="4"/>
  </r>
  <r>
    <s v="CA-2016-163755"/>
    <x v="114"/>
    <d v="2016-11-08T00:00:00"/>
    <x v="0"/>
    <s v="AS-10285"/>
    <s v="Alejandro Savely"/>
    <x v="1"/>
    <s v="United States"/>
    <x v="15"/>
    <x v="13"/>
    <x v="1"/>
    <s v="FUR-FU-10003394"/>
    <s v="Furniture"/>
    <x v="3"/>
    <s v="Tenex &quot;The Solids&quot; Textured Chair Mats"/>
    <n v="209.88"/>
    <n v="3"/>
    <n v="35.679600000000001"/>
    <x v="4"/>
    <x v="0"/>
  </r>
  <r>
    <s v="CA-2015-142027"/>
    <x v="115"/>
    <d v="2015-04-14T00:00:00"/>
    <x v="1"/>
    <s v="JK-15370"/>
    <s v="Jay Kimmel"/>
    <x v="0"/>
    <s v="United States"/>
    <x v="62"/>
    <x v="2"/>
    <x v="1"/>
    <s v="FUR-TA-10002774"/>
    <s v="Furniture"/>
    <x v="2"/>
    <s v="Laminate Occasional Tables"/>
    <n v="369.91199999999998"/>
    <n v="3"/>
    <n v="-13.871700000000001"/>
    <x v="2"/>
    <x v="6"/>
  </r>
  <r>
    <s v="CA-2014-112158"/>
    <x v="116"/>
    <d v="2014-12-04T00:00:00"/>
    <x v="2"/>
    <s v="DP-13165"/>
    <s v="David Philippe"/>
    <x v="0"/>
    <s v="United States"/>
    <x v="13"/>
    <x v="7"/>
    <x v="2"/>
    <s v="FUR-BO-10003272"/>
    <s v="Furniture"/>
    <x v="0"/>
    <s v="O'Sullivan Living Dimensions 5-Shelf Bookcases"/>
    <n v="883.92"/>
    <n v="5"/>
    <n v="-110.49"/>
    <x v="3"/>
    <x v="5"/>
  </r>
  <r>
    <s v="CA-2014-130092"/>
    <x v="117"/>
    <d v="2014-01-14T00:00:00"/>
    <x v="2"/>
    <s v="SV-20365"/>
    <s v="Seth Vernon"/>
    <x v="0"/>
    <s v="United States"/>
    <x v="63"/>
    <x v="14"/>
    <x v="2"/>
    <s v="FUR-FU-10000010"/>
    <s v="Furniture"/>
    <x v="3"/>
    <s v="DAX Value U-Channel Document Frames, Easel Back"/>
    <n v="9.94"/>
    <n v="2"/>
    <n v="3.0813999999999999"/>
    <x v="0"/>
    <x v="8"/>
  </r>
  <r>
    <s v="CA-2017-108910"/>
    <x v="118"/>
    <d v="2017-09-29T00:00:00"/>
    <x v="1"/>
    <s v="KC-16540"/>
    <s v="Kelly Collister"/>
    <x v="0"/>
    <s v="United States"/>
    <x v="19"/>
    <x v="15"/>
    <x v="2"/>
    <s v="FUR-FU-10002253"/>
    <s v="Furniture"/>
    <x v="3"/>
    <s v="Howard Miller 13&quot; Diameter Pewter Finish Round Wall Clock"/>
    <n v="103.056"/>
    <n v="3"/>
    <n v="24.4758"/>
    <x v="2"/>
    <x v="4"/>
  </r>
  <r>
    <s v="CA-2014-104472"/>
    <x v="119"/>
    <d v="2014-06-07T00:00:00"/>
    <x v="1"/>
    <s v="CK-12325"/>
    <s v="Christine Kargatis"/>
    <x v="2"/>
    <s v="United States"/>
    <x v="4"/>
    <x v="4"/>
    <x v="1"/>
    <s v="FUR-FU-10000246"/>
    <s v="Furniture"/>
    <x v="3"/>
    <s v="Aluminum Document Frame"/>
    <n v="73.319999999999993"/>
    <n v="6"/>
    <n v="21.995999999999999"/>
    <x v="2"/>
    <x v="2"/>
  </r>
  <r>
    <s v="CA-2016-142335"/>
    <x v="120"/>
    <d v="2016-12-19T00:00:00"/>
    <x v="1"/>
    <s v="MP-17965"/>
    <s v="Michael Paige"/>
    <x v="1"/>
    <s v="United States"/>
    <x v="25"/>
    <x v="17"/>
    <x v="3"/>
    <s v="FUR-TA-10000198"/>
    <s v="Furniture"/>
    <x v="2"/>
    <s v="Chromcraft Bull-Nose Wood Oval Conference Tables &amp; Bases"/>
    <n v="1652.94"/>
    <n v="3"/>
    <n v="231.41159999999999"/>
    <x v="4"/>
    <x v="5"/>
  </r>
  <r>
    <s v="CA-2014-117429"/>
    <x v="121"/>
    <d v="2014-10-13T00:00:00"/>
    <x v="1"/>
    <s v="MR-17545"/>
    <s v="Mathew Reese"/>
    <x v="2"/>
    <s v="United States"/>
    <x v="3"/>
    <x v="3"/>
    <x v="2"/>
    <s v="FUR-FU-10000222"/>
    <s v="Furniture"/>
    <x v="3"/>
    <s v="Seth Thomas 16&quot; Steel Case Clock"/>
    <n v="129.91999999999999"/>
    <n v="5"/>
    <n v="21.111999999999998"/>
    <x v="6"/>
    <x v="1"/>
  </r>
  <r>
    <s v="US-2016-150861"/>
    <x v="122"/>
    <d v="2016-12-06T00:00:00"/>
    <x v="2"/>
    <s v="EG-13900"/>
    <s v="Emily Grady"/>
    <x v="0"/>
    <s v="United States"/>
    <x v="64"/>
    <x v="7"/>
    <x v="2"/>
    <s v="FUR-TA-10002228"/>
    <s v="Furniture"/>
    <x v="2"/>
    <s v="Bevis Traditional Conference Table Top, Plinth Base"/>
    <n v="400.03199999999998"/>
    <n v="2"/>
    <n v="-153.34559999999999"/>
    <x v="0"/>
    <x v="5"/>
  </r>
  <r>
    <s v="US-2016-150861"/>
    <x v="122"/>
    <d v="2016-12-06T00:00:00"/>
    <x v="2"/>
    <s v="EG-13900"/>
    <s v="Emily Grady"/>
    <x v="0"/>
    <s v="United States"/>
    <x v="64"/>
    <x v="7"/>
    <x v="2"/>
    <s v="FUR-CH-10002965"/>
    <s v="Furniture"/>
    <x v="1"/>
    <s v="Global Leather Highback Executive Chair with Pneumatic Height Adjustment, Black"/>
    <n v="542.64599999999996"/>
    <n v="3"/>
    <n v="102.49979999999999"/>
    <x v="0"/>
    <x v="5"/>
  </r>
  <r>
    <s v="CA-2017-131954"/>
    <x v="123"/>
    <d v="2017-01-25T00:00:00"/>
    <x v="1"/>
    <s v="DS-13030"/>
    <s v="Darrin Sayre"/>
    <x v="2"/>
    <s v="United States"/>
    <x v="15"/>
    <x v="13"/>
    <x v="1"/>
    <s v="FUR-BO-10001619"/>
    <s v="Furniture"/>
    <x v="0"/>
    <s v="O'Sullivan Cherrywood Estates Traditional Bookcase"/>
    <n v="84.98"/>
    <n v="1"/>
    <n v="18.695599999999999"/>
    <x v="4"/>
    <x v="8"/>
  </r>
  <r>
    <s v="CA-2014-124429"/>
    <x v="124"/>
    <d v="2014-05-27T00:00:00"/>
    <x v="3"/>
    <s v="MH-17785"/>
    <s v="Maya Herman"/>
    <x v="1"/>
    <s v="United States"/>
    <x v="53"/>
    <x v="2"/>
    <x v="1"/>
    <s v="FUR-TA-10002607"/>
    <s v="Furniture"/>
    <x v="2"/>
    <s v="KI Conference Tables"/>
    <n v="567.12"/>
    <n v="10"/>
    <n v="-28.356000000000002"/>
    <x v="7"/>
    <x v="7"/>
  </r>
  <r>
    <s v="CA-2017-126074"/>
    <x v="125"/>
    <d v="2017-10-06T00:00:00"/>
    <x v="1"/>
    <s v="RF-19735"/>
    <s v="Roland Fjeld"/>
    <x v="0"/>
    <s v="United States"/>
    <x v="65"/>
    <x v="17"/>
    <x v="3"/>
    <s v="FUR-FU-10003577"/>
    <s v="Furniture"/>
    <x v="3"/>
    <s v="Nu-Dell Leatherette Frames"/>
    <n v="157.74"/>
    <n v="11"/>
    <n v="56.7864"/>
    <x v="4"/>
    <x v="1"/>
  </r>
  <r>
    <s v="CA-2015-135272"/>
    <x v="88"/>
    <d v="2015-12-12T00:00:00"/>
    <x v="1"/>
    <s v="MS-17830"/>
    <s v="Melanie Seite"/>
    <x v="0"/>
    <s v="United States"/>
    <x v="2"/>
    <x v="2"/>
    <x v="1"/>
    <s v="FUR-FU-10002759"/>
    <s v="Furniture"/>
    <x v="3"/>
    <s v="12-1/2 Diameter Round Wall Clock"/>
    <n v="79.92"/>
    <n v="4"/>
    <n v="28.7712"/>
    <x v="2"/>
    <x v="5"/>
  </r>
  <r>
    <s v="CA-2016-140928"/>
    <x v="126"/>
    <d v="2016-09-22T00:00:00"/>
    <x v="1"/>
    <s v="NB-18655"/>
    <s v="Nona Balk"/>
    <x v="1"/>
    <s v="United States"/>
    <x v="51"/>
    <x v="1"/>
    <x v="0"/>
    <s v="FUR-TA-10001095"/>
    <s v="Furniture"/>
    <x v="2"/>
    <s v="Chromcraft Round Conference Tables"/>
    <n v="383.43799999999999"/>
    <n v="4"/>
    <n v="-167.3184"/>
    <x v="4"/>
    <x v="4"/>
  </r>
  <r>
    <s v="CA-2014-106810"/>
    <x v="127"/>
    <d v="2014-05-20T00:00:00"/>
    <x v="1"/>
    <s v="AJ-10795"/>
    <s v="Anthony Johnson"/>
    <x v="1"/>
    <s v="United States"/>
    <x v="66"/>
    <x v="1"/>
    <x v="0"/>
    <s v="FUR-FU-10004306"/>
    <s v="Furniture"/>
    <x v="3"/>
    <s v="Electrix Halogen Magnifier Lamp"/>
    <n v="310.88"/>
    <n v="2"/>
    <n v="23.315999999999999"/>
    <x v="6"/>
    <x v="7"/>
  </r>
  <r>
    <s v="CA-2016-157245"/>
    <x v="128"/>
    <d v="2016-05-24T00:00:00"/>
    <x v="1"/>
    <s v="LE-16810"/>
    <s v="Laurel Elliston"/>
    <x v="0"/>
    <s v="United States"/>
    <x v="58"/>
    <x v="25"/>
    <x v="0"/>
    <s v="FUR-CH-10003746"/>
    <s v="Furniture"/>
    <x v="1"/>
    <s v="Hon 4070 Series Pagoda Round Back Stacking Chairs"/>
    <n v="641.96"/>
    <n v="2"/>
    <n v="179.74879999999999"/>
    <x v="2"/>
    <x v="7"/>
  </r>
  <r>
    <s v="CA-2017-104220"/>
    <x v="129"/>
    <d v="2017-02-05T00:00:00"/>
    <x v="1"/>
    <s v="BV-11245"/>
    <s v="Benjamin Venier"/>
    <x v="1"/>
    <s v="United States"/>
    <x v="67"/>
    <x v="26"/>
    <x v="3"/>
    <s v="FUR-FU-10002597"/>
    <s v="Furniture"/>
    <x v="3"/>
    <s v="C-Line Magnetic Cubicle Keepers, Clear Polypropylene"/>
    <n v="34.58"/>
    <n v="7"/>
    <n v="14.5236"/>
    <x v="6"/>
    <x v="8"/>
  </r>
  <r>
    <s v="CA-2015-144267"/>
    <x v="130"/>
    <d v="2015-08-23T00:00:00"/>
    <x v="2"/>
    <s v="NZ-18565"/>
    <s v="Nick Zandusky"/>
    <x v="2"/>
    <s v="United States"/>
    <x v="28"/>
    <x v="2"/>
    <x v="1"/>
    <s v="FUR-CH-10002335"/>
    <s v="Furniture"/>
    <x v="1"/>
    <s v="Hon GuestStacker Chair"/>
    <n v="544.00800000000004"/>
    <n v="3"/>
    <n v="40.800600000000003"/>
    <x v="3"/>
    <x v="10"/>
  </r>
  <r>
    <s v="US-2015-157014"/>
    <x v="131"/>
    <d v="2015-10-06T00:00:00"/>
    <x v="0"/>
    <s v="BM-11785"/>
    <s v="Bryan Mills"/>
    <x v="0"/>
    <s v="United States"/>
    <x v="29"/>
    <x v="15"/>
    <x v="2"/>
    <s v="FUR-BO-10004409"/>
    <s v="Furniture"/>
    <x v="0"/>
    <s v="Safco Value Mate Series Steel Bookcases, Baked Enamel Finish on Steel, Gray"/>
    <n v="35.49"/>
    <n v="1"/>
    <n v="-15.615600000000001"/>
    <x v="0"/>
    <x v="1"/>
  </r>
  <r>
    <s v="CA-2015-154620"/>
    <x v="132"/>
    <d v="2015-12-16T00:00:00"/>
    <x v="1"/>
    <s v="LT-17110"/>
    <s v="Liz Thompson"/>
    <x v="0"/>
    <s v="United States"/>
    <x v="68"/>
    <x v="2"/>
    <x v="1"/>
    <s v="FUR-CH-10004675"/>
    <s v="Furniture"/>
    <x v="1"/>
    <s v="Lifetime Advantage Folding Chairs, 4/Carton"/>
    <n v="348.928"/>
    <n v="2"/>
    <n v="34.892800000000001"/>
    <x v="4"/>
    <x v="5"/>
  </r>
  <r>
    <s v="CA-2015-115938"/>
    <x v="133"/>
    <d v="2015-06-30T00:00:00"/>
    <x v="1"/>
    <s v="SA-20830"/>
    <s v="Sue Ann Reed"/>
    <x v="0"/>
    <s v="United States"/>
    <x v="52"/>
    <x v="25"/>
    <x v="0"/>
    <s v="FUR-CH-10003199"/>
    <s v="Furniture"/>
    <x v="1"/>
    <s v="Office Star - Contemporary Task Swivel Chair"/>
    <n v="332.94"/>
    <n v="3"/>
    <n v="79.905600000000007"/>
    <x v="4"/>
    <x v="2"/>
  </r>
  <r>
    <s v="CA-2015-101910"/>
    <x v="61"/>
    <d v="2015-12-03T00:00:00"/>
    <x v="1"/>
    <s v="CD-11920"/>
    <s v="Carlos Daly"/>
    <x v="0"/>
    <s v="United States"/>
    <x v="69"/>
    <x v="2"/>
    <x v="1"/>
    <s v="FUR-CH-10002647"/>
    <s v="Furniture"/>
    <x v="1"/>
    <s v="Situations Contoured Folding Chairs, 4/Set"/>
    <n v="283.92"/>
    <n v="5"/>
    <n v="17.745000000000001"/>
    <x v="6"/>
    <x v="0"/>
  </r>
  <r>
    <s v="CA-2017-105809"/>
    <x v="134"/>
    <d v="2017-02-23T00:00:00"/>
    <x v="2"/>
    <s v="HW-14935"/>
    <s v="Helen Wasserman"/>
    <x v="1"/>
    <s v="United States"/>
    <x v="53"/>
    <x v="2"/>
    <x v="1"/>
    <s v="FUR-FU-10004090"/>
    <s v="Furniture"/>
    <x v="3"/>
    <s v="Executive Impressions 14&quot; Contract Wall Clock"/>
    <n v="22.23"/>
    <n v="1"/>
    <n v="7.3358999999999996"/>
    <x v="0"/>
    <x v="11"/>
  </r>
  <r>
    <s v="CA-2017-135783"/>
    <x v="135"/>
    <d v="2017-04-24T00:00:00"/>
    <x v="2"/>
    <s v="GM-14440"/>
    <s v="Gary McGarr"/>
    <x v="0"/>
    <s v="United States"/>
    <x v="28"/>
    <x v="2"/>
    <x v="1"/>
    <s v="FUR-FU-10000794"/>
    <s v="Furniture"/>
    <x v="3"/>
    <s v="Eldon Stackable Tray, Side-Load, Legal, Smoke"/>
    <n v="18.28"/>
    <n v="2"/>
    <n v="6.2152000000000003"/>
    <x v="3"/>
    <x v="6"/>
  </r>
  <r>
    <s v="CA-2015-140921"/>
    <x v="136"/>
    <d v="2015-02-05T00:00:00"/>
    <x v="2"/>
    <s v="AA-10375"/>
    <s v="Allen Armold"/>
    <x v="0"/>
    <s v="United States"/>
    <x v="70"/>
    <x v="27"/>
    <x v="3"/>
    <s v="FUR-FU-10003347"/>
    <s v="Furniture"/>
    <x v="3"/>
    <s v="Coloredge Poster Frame"/>
    <n v="28.4"/>
    <n v="2"/>
    <n v="11.076000000000001"/>
    <x v="3"/>
    <x v="11"/>
  </r>
  <r>
    <s v="CA-2014-151995"/>
    <x v="137"/>
    <d v="2014-10-15T00:00:00"/>
    <x v="2"/>
    <s v="ZC-21910"/>
    <s v="Zuschuss Carroll"/>
    <x v="0"/>
    <s v="United States"/>
    <x v="71"/>
    <x v="13"/>
    <x v="1"/>
    <s v="FUR-TA-10002903"/>
    <s v="Furniture"/>
    <x v="2"/>
    <s v="Bevis Round Bullnose 29&quot; High Table Top"/>
    <n v="1298.55"/>
    <n v="5"/>
    <n v="311.65199999999999"/>
    <x v="3"/>
    <x v="1"/>
  </r>
  <r>
    <s v="CA-2017-143686"/>
    <x v="138"/>
    <d v="2017-05-14T00:00:00"/>
    <x v="3"/>
    <s v="PJ-19015"/>
    <s v="Pauline Johnson"/>
    <x v="0"/>
    <s v="United States"/>
    <x v="72"/>
    <x v="2"/>
    <x v="1"/>
    <s v="FUR-FU-10000794"/>
    <s v="Furniture"/>
    <x v="3"/>
    <s v="Eldon Stackable Tray, Side-Load, Legal, Smoke"/>
    <n v="18.28"/>
    <n v="2"/>
    <n v="6.2152000000000003"/>
    <x v="7"/>
    <x v="7"/>
  </r>
  <r>
    <s v="CA-2014-140858"/>
    <x v="139"/>
    <d v="2014-07-02T00:00:00"/>
    <x v="1"/>
    <s v="CA-12775"/>
    <s v="Cynthia Arntzen"/>
    <x v="0"/>
    <s v="United States"/>
    <x v="3"/>
    <x v="3"/>
    <x v="2"/>
    <s v="FUR-CH-10001394"/>
    <s v="Furniture"/>
    <x v="1"/>
    <s v="Global Leather Executive Chair"/>
    <n v="1228.4649999999999"/>
    <n v="5"/>
    <n v="0"/>
    <x v="4"/>
    <x v="2"/>
  </r>
  <r>
    <s v="CA-2017-129462"/>
    <x v="140"/>
    <d v="2017-06-21T00:00:00"/>
    <x v="0"/>
    <s v="JE-15745"/>
    <s v="Joel Eaton"/>
    <x v="0"/>
    <s v="United States"/>
    <x v="73"/>
    <x v="0"/>
    <x v="0"/>
    <s v="FUR-CH-10000665"/>
    <s v="Furniture"/>
    <x v="1"/>
    <s v="Global Airflow Leather Mesh Back Chair, Black"/>
    <n v="301.95999999999998"/>
    <n v="2"/>
    <n v="90.587999999999994"/>
    <x v="2"/>
    <x v="2"/>
  </r>
  <r>
    <s v="CA-2015-100454"/>
    <x v="141"/>
    <d v="2015-11-25T00:00:00"/>
    <x v="1"/>
    <s v="BM-11650"/>
    <s v="Brian Moss"/>
    <x v="1"/>
    <s v="United States"/>
    <x v="13"/>
    <x v="7"/>
    <x v="2"/>
    <s v="FUR-BO-10001519"/>
    <s v="Furniture"/>
    <x v="0"/>
    <s v="O'Sullivan 3-Shelf Heavy-Duty Bookcases"/>
    <n v="186.048"/>
    <n v="4"/>
    <n v="9.3024000000000004"/>
    <x v="2"/>
    <x v="0"/>
  </r>
  <r>
    <s v="CA-2015-114300"/>
    <x v="142"/>
    <d v="2015-10-17T00:00:00"/>
    <x v="1"/>
    <s v="AF-10885"/>
    <s v="Art Foster"/>
    <x v="0"/>
    <s v="United States"/>
    <x v="74"/>
    <x v="0"/>
    <x v="0"/>
    <s v="FUR-CH-10001891"/>
    <s v="Furniture"/>
    <x v="1"/>
    <s v="Global Deluxe Office Fabric Chairs"/>
    <n v="287.94"/>
    <n v="3"/>
    <n v="77.743799999999993"/>
    <x v="4"/>
    <x v="1"/>
  </r>
  <r>
    <s v="CA-2017-107503"/>
    <x v="143"/>
    <d v="2017-01-06T00:00:00"/>
    <x v="1"/>
    <s v="GA-14725"/>
    <s v="Guy Armstrong"/>
    <x v="0"/>
    <s v="United States"/>
    <x v="75"/>
    <x v="15"/>
    <x v="2"/>
    <s v="FUR-FU-10003878"/>
    <s v="Furniture"/>
    <x v="3"/>
    <s v="Linden 10&quot; Round Wall Clock, Black"/>
    <n v="48.896000000000001"/>
    <n v="4"/>
    <n v="8.5568000000000008"/>
    <x v="2"/>
    <x v="8"/>
  </r>
  <r>
    <s v="CA-2016-123274"/>
    <x v="144"/>
    <d v="2016-02-24T00:00:00"/>
    <x v="1"/>
    <s v="GT-14710"/>
    <s v="Greg Tran"/>
    <x v="0"/>
    <s v="United States"/>
    <x v="13"/>
    <x v="7"/>
    <x v="2"/>
    <s v="FUR-FU-10004090"/>
    <s v="Furniture"/>
    <x v="3"/>
    <s v="Executive Impressions 14&quot; Contract Wall Clock"/>
    <n v="44.46"/>
    <n v="2"/>
    <n v="14.671799999999999"/>
    <x v="2"/>
    <x v="11"/>
  </r>
  <r>
    <s v="CA-2014-149020"/>
    <x v="145"/>
    <d v="2014-01-15T00:00:00"/>
    <x v="1"/>
    <s v="AJ-10780"/>
    <s v="Anthony Jacobs"/>
    <x v="1"/>
    <s v="United States"/>
    <x v="76"/>
    <x v="25"/>
    <x v="0"/>
    <s v="FUR-FU-10000965"/>
    <s v="Furniture"/>
    <x v="3"/>
    <s v="Howard Miller 11-1/2&quot; Diameter Ridgewood Wall Clock"/>
    <n v="51.94"/>
    <n v="1"/>
    <n v="21.295400000000001"/>
    <x v="2"/>
    <x v="8"/>
  </r>
  <r>
    <s v="CA-2016-116736"/>
    <x v="146"/>
    <d v="2016-01-21T00:00:00"/>
    <x v="1"/>
    <s v="CC-12430"/>
    <s v="Chuck Clark"/>
    <x v="2"/>
    <s v="United States"/>
    <x v="41"/>
    <x v="28"/>
    <x v="2"/>
    <s v="FUR-FU-10004017"/>
    <s v="Furniture"/>
    <x v="3"/>
    <s v="Tenex Contemporary Contur Chairmats for Low and Medium Pile Carpet, Computer, 39&quot; x 49&quot;"/>
    <n v="322.58999999999997"/>
    <n v="3"/>
    <n v="64.518000000000001"/>
    <x v="4"/>
    <x v="8"/>
  </r>
  <r>
    <s v="CA-2017-111689"/>
    <x v="147"/>
    <d v="2017-12-02T00:00:00"/>
    <x v="0"/>
    <s v="HP-14815"/>
    <s v="Harold Pawlan"/>
    <x v="2"/>
    <s v="United States"/>
    <x v="13"/>
    <x v="7"/>
    <x v="2"/>
    <s v="FUR-CH-10004287"/>
    <s v="Furniture"/>
    <x v="1"/>
    <s v="SAFCO Arco Folding Chair"/>
    <n v="1242.9000000000001"/>
    <n v="5"/>
    <n v="262.39"/>
    <x v="3"/>
    <x v="0"/>
  </r>
  <r>
    <s v="CA-2016-165148"/>
    <x v="148"/>
    <d v="2016-10-24T00:00:00"/>
    <x v="2"/>
    <s v="PM-19135"/>
    <s v="Peter McVee"/>
    <x v="2"/>
    <s v="United States"/>
    <x v="25"/>
    <x v="17"/>
    <x v="3"/>
    <s v="FUR-FU-10000732"/>
    <s v="Furniture"/>
    <x v="3"/>
    <s v="Eldon 200 Class Desk Accessories"/>
    <n v="31.4"/>
    <n v="5"/>
    <n v="10.048"/>
    <x v="3"/>
    <x v="1"/>
  </r>
  <r>
    <s v="CA-2014-134061"/>
    <x v="149"/>
    <d v="2014-05-04T00:00:00"/>
    <x v="1"/>
    <s v="LL-16840"/>
    <s v="Lauren Leatherbury"/>
    <x v="0"/>
    <s v="United States"/>
    <x v="77"/>
    <x v="7"/>
    <x v="2"/>
    <s v="FUR-FU-10001424"/>
    <s v="Furniture"/>
    <x v="3"/>
    <s v="Dax Clear Box Frame"/>
    <n v="17.46"/>
    <n v="2"/>
    <n v="5.9363999999999999"/>
    <x v="2"/>
    <x v="6"/>
  </r>
  <r>
    <s v="CA-2017-143259"/>
    <x v="150"/>
    <d v="2018-01-03T00:00:00"/>
    <x v="1"/>
    <s v="PO-18865"/>
    <s v="Patrick O'Donnell"/>
    <x v="0"/>
    <s v="United States"/>
    <x v="13"/>
    <x v="7"/>
    <x v="2"/>
    <s v="FUR-BO-10003441"/>
    <s v="Furniture"/>
    <x v="0"/>
    <s v="Bush Westfield Collection Bookcases, Fully Assembled"/>
    <n v="323.13600000000002"/>
    <n v="4"/>
    <n v="12.117599999999999"/>
    <x v="4"/>
    <x v="5"/>
  </r>
  <r>
    <s v="CA-2015-133627"/>
    <x v="151"/>
    <d v="2015-06-07T00:00:00"/>
    <x v="1"/>
    <s v="SC-20050"/>
    <s v="Sample Company A"/>
    <x v="2"/>
    <s v="United States"/>
    <x v="78"/>
    <x v="19"/>
    <x v="2"/>
    <s v="FUR-FU-10001935"/>
    <s v="Furniture"/>
    <x v="3"/>
    <s v="3M Hangers With Command Adhesive"/>
    <n v="22.2"/>
    <n v="6"/>
    <n v="9.1020000000000003"/>
    <x v="1"/>
    <x v="7"/>
  </r>
  <r>
    <s v="CA-2017-102519"/>
    <x v="152"/>
    <d v="2017-11-29T00:00:00"/>
    <x v="2"/>
    <s v="BM-11650"/>
    <s v="Brian Moss"/>
    <x v="1"/>
    <s v="United States"/>
    <x v="79"/>
    <x v="16"/>
    <x v="3"/>
    <s v="FUR-FU-10004091"/>
    <s v="Furniture"/>
    <x v="3"/>
    <s v="Howard Miller 13&quot; Diameter Goldtone Round Wall Clock"/>
    <n v="46.94"/>
    <n v="1"/>
    <n v="19.2454"/>
    <x v="3"/>
    <x v="0"/>
  </r>
  <r>
    <s v="US-2014-141215"/>
    <x v="153"/>
    <d v="2014-06-21T00:00:00"/>
    <x v="1"/>
    <s v="KL-16555"/>
    <s v="Kelly Lampkin"/>
    <x v="1"/>
    <s v="United States"/>
    <x v="21"/>
    <x v="5"/>
    <x v="3"/>
    <s v="FUR-TA-10001520"/>
    <s v="Furniture"/>
    <x v="2"/>
    <s v="Lesro Sheffield Collection Coffee Table, End Table, Center Table, Corner Table"/>
    <n v="99.918000000000006"/>
    <n v="2"/>
    <n v="-18.5562"/>
    <x v="6"/>
    <x v="2"/>
  </r>
  <r>
    <s v="US-2014-141215"/>
    <x v="153"/>
    <d v="2014-06-21T00:00:00"/>
    <x v="1"/>
    <s v="KL-16555"/>
    <s v="Kelly Lampkin"/>
    <x v="1"/>
    <s v="United States"/>
    <x v="21"/>
    <x v="5"/>
    <x v="3"/>
    <s v="FUR-CH-10003379"/>
    <s v="Furniture"/>
    <x v="1"/>
    <s v="Global Commerce Series High-Back Swivel/Tilt Chairs"/>
    <n v="797.94399999999996"/>
    <n v="4"/>
    <n v="-56.996000000000002"/>
    <x v="6"/>
    <x v="2"/>
  </r>
  <r>
    <s v="CA-2016-142958"/>
    <x v="154"/>
    <d v="2016-12-20T00:00:00"/>
    <x v="1"/>
    <s v="RW-19630"/>
    <s v="Rob Williams"/>
    <x v="1"/>
    <s v="United States"/>
    <x v="80"/>
    <x v="2"/>
    <x v="1"/>
    <s v="FUR-TA-10000577"/>
    <s v="Furniture"/>
    <x v="2"/>
    <s v="Bretford CR4500 Series Slim Rectangular Table"/>
    <n v="1114.2719999999999"/>
    <n v="4"/>
    <n v="41.785200000000003"/>
    <x v="1"/>
    <x v="5"/>
  </r>
  <r>
    <s v="US-2015-140200"/>
    <x v="155"/>
    <d v="2015-07-28T00:00:00"/>
    <x v="2"/>
    <s v="CA-12775"/>
    <s v="Cynthia Arntzen"/>
    <x v="0"/>
    <s v="United States"/>
    <x v="81"/>
    <x v="22"/>
    <x v="1"/>
    <s v="FUR-TA-10002356"/>
    <s v="Furniture"/>
    <x v="2"/>
    <s v="Bevis Boat-Shaped Conference Table"/>
    <n v="393.16500000000002"/>
    <n v="3"/>
    <n v="-204.44579999999999"/>
    <x v="3"/>
    <x v="3"/>
  </r>
  <r>
    <s v="US-2017-110576"/>
    <x v="156"/>
    <d v="2017-12-02T00:00:00"/>
    <x v="1"/>
    <s v="RB-19795"/>
    <s v="Ross Baird"/>
    <x v="2"/>
    <s v="United States"/>
    <x v="3"/>
    <x v="3"/>
    <x v="2"/>
    <s v="FUR-FU-10003601"/>
    <s v="Furniture"/>
    <x v="3"/>
    <s v="Deflect-o RollaMat Studded, Beveled Mat for Medium Pile Carpeting"/>
    <n v="516.48800000000006"/>
    <n v="7"/>
    <n v="-12.9122"/>
    <x v="4"/>
    <x v="0"/>
  </r>
  <r>
    <s v="US-2017-110576"/>
    <x v="156"/>
    <d v="2017-12-02T00:00:00"/>
    <x v="1"/>
    <s v="RB-19795"/>
    <s v="Ross Baird"/>
    <x v="2"/>
    <s v="United States"/>
    <x v="3"/>
    <x v="3"/>
    <x v="2"/>
    <s v="FUR-FU-10000576"/>
    <s v="Furniture"/>
    <x v="3"/>
    <s v="Luxo Professional Fluorescent Magnifier Lamp with Clamp-Mount Base"/>
    <n v="1007.232"/>
    <n v="6"/>
    <n v="75.542400000000001"/>
    <x v="4"/>
    <x v="0"/>
  </r>
  <r>
    <s v="US-2017-110576"/>
    <x v="156"/>
    <d v="2017-12-02T00:00:00"/>
    <x v="1"/>
    <s v="RB-19795"/>
    <s v="Ross Baird"/>
    <x v="2"/>
    <s v="United States"/>
    <x v="3"/>
    <x v="3"/>
    <x v="2"/>
    <s v="FUR-TA-10004154"/>
    <s v="Furniture"/>
    <x v="2"/>
    <s v="Riverside Furniture Oval Coffee Table, Oval End Table, End Table with Drawer"/>
    <n v="2065.3200000000002"/>
    <n v="12"/>
    <n v="-619.596"/>
    <x v="4"/>
    <x v="0"/>
  </r>
  <r>
    <s v="CA-2017-131156"/>
    <x v="157"/>
    <d v="2017-04-07T00:00:00"/>
    <x v="1"/>
    <s v="KH-16360"/>
    <s v="Katherine Hughes"/>
    <x v="0"/>
    <s v="United States"/>
    <x v="3"/>
    <x v="3"/>
    <x v="2"/>
    <s v="FUR-FU-10001940"/>
    <s v="Furniture"/>
    <x v="3"/>
    <s v="Staple-based wall hangings"/>
    <n v="25.472000000000001"/>
    <n v="4"/>
    <n v="7.6416000000000004"/>
    <x v="4"/>
    <x v="6"/>
  </r>
  <r>
    <s v="CA-2017-136539"/>
    <x v="158"/>
    <d v="2018-01-01T00:00:00"/>
    <x v="1"/>
    <s v="GH-14665"/>
    <s v="Greg Hansen"/>
    <x v="0"/>
    <s v="United States"/>
    <x v="82"/>
    <x v="5"/>
    <x v="3"/>
    <s v="FUR-BO-10004709"/>
    <s v="Furniture"/>
    <x v="0"/>
    <s v="Bush Westfield Collection Bookcases, Medium Cherry Finish"/>
    <n v="78.852800000000002"/>
    <n v="2"/>
    <n v="-11.596"/>
    <x v="4"/>
    <x v="5"/>
  </r>
  <r>
    <s v="CA-2015-112571"/>
    <x v="159"/>
    <d v="2015-09-22T00:00:00"/>
    <x v="3"/>
    <s v="DL-12925"/>
    <s v="Daniel Lacy"/>
    <x v="0"/>
    <s v="United States"/>
    <x v="64"/>
    <x v="2"/>
    <x v="1"/>
    <s v="FUR-FU-10004188"/>
    <s v="Furniture"/>
    <x v="3"/>
    <s v="Luxo Professional Combination Clamp-On Lamps"/>
    <n v="204.6"/>
    <n v="2"/>
    <n v="53.195999999999998"/>
    <x v="7"/>
    <x v="4"/>
  </r>
  <r>
    <s v="CA-2017-152142"/>
    <x v="160"/>
    <d v="2017-11-19T00:00:00"/>
    <x v="1"/>
    <s v="LW-16990"/>
    <s v="Lindsay Williams"/>
    <x v="1"/>
    <s v="United States"/>
    <x v="28"/>
    <x v="2"/>
    <x v="1"/>
    <s v="FUR-CH-10002965"/>
    <s v="Furniture"/>
    <x v="1"/>
    <s v="Global Leather Highback Executive Chair with Pneumatic Height Adjustment, Black"/>
    <n v="321.56799999999998"/>
    <n v="2"/>
    <n v="28.1372"/>
    <x v="2"/>
    <x v="0"/>
  </r>
  <r>
    <s v="CA-2014-115791"/>
    <x v="161"/>
    <d v="2014-01-18T00:00:00"/>
    <x v="0"/>
    <s v="DL-13315"/>
    <s v="Delfina Latchford"/>
    <x v="0"/>
    <s v="United States"/>
    <x v="3"/>
    <x v="3"/>
    <x v="2"/>
    <s v="FUR-FU-10001095"/>
    <s v="Furniture"/>
    <x v="3"/>
    <s v="DAX Black Cherry Wood-Tone Poster Frame"/>
    <n v="127.104"/>
    <n v="6"/>
    <n v="28.598400000000002"/>
    <x v="3"/>
    <x v="8"/>
  </r>
  <r>
    <s v="CA-2016-144939"/>
    <x v="162"/>
    <d v="2016-10-08T00:00:00"/>
    <x v="1"/>
    <s v="EB-13870"/>
    <s v="Emily Burns"/>
    <x v="0"/>
    <s v="United States"/>
    <x v="13"/>
    <x v="7"/>
    <x v="2"/>
    <s v="FUR-CH-10003199"/>
    <s v="Furniture"/>
    <x v="1"/>
    <s v="Office Star - Contemporary Task Swivel Chair"/>
    <n v="599.29200000000003"/>
    <n v="6"/>
    <n v="93.223200000000006"/>
    <x v="2"/>
    <x v="1"/>
  </r>
  <r>
    <s v="CA-2014-163419"/>
    <x v="163"/>
    <d v="2014-11-14T00:00:00"/>
    <x v="0"/>
    <s v="TZ-21580"/>
    <s v="Tracy Zic"/>
    <x v="0"/>
    <s v="United States"/>
    <x v="74"/>
    <x v="12"/>
    <x v="1"/>
    <s v="FUR-CH-10000665"/>
    <s v="Furniture"/>
    <x v="1"/>
    <s v="Global Airflow Leather Mesh Back Chair, Black"/>
    <n v="603.91999999999996"/>
    <n v="5"/>
    <n v="75.489999999999995"/>
    <x v="0"/>
    <x v="0"/>
  </r>
  <r>
    <s v="CA-2017-167899"/>
    <x v="164"/>
    <d v="2017-05-26T00:00:00"/>
    <x v="1"/>
    <s v="JG-15805"/>
    <s v="John Grady"/>
    <x v="1"/>
    <s v="United States"/>
    <x v="83"/>
    <x v="7"/>
    <x v="2"/>
    <s v="FUR-FU-10004071"/>
    <s v="Furniture"/>
    <x v="3"/>
    <s v="Luxo Professional Magnifying Clamp-On Fluorescent Lamps"/>
    <n v="520.04999999999995"/>
    <n v="5"/>
    <n v="72.807000000000002"/>
    <x v="2"/>
    <x v="7"/>
  </r>
  <r>
    <s v="CA-2015-153549"/>
    <x v="165"/>
    <d v="2015-03-31T00:00:00"/>
    <x v="0"/>
    <s v="SL-20155"/>
    <s v="Sara Luxemburg"/>
    <x v="2"/>
    <s v="United States"/>
    <x v="51"/>
    <x v="1"/>
    <x v="0"/>
    <s v="FUR-CH-10004086"/>
    <s v="Furniture"/>
    <x v="1"/>
    <s v="Hon 4070 Series Pagoda Armless Upholstered Stacking Chairs"/>
    <n v="1166.92"/>
    <n v="5"/>
    <n v="131.27850000000001"/>
    <x v="3"/>
    <x v="9"/>
  </r>
  <r>
    <s v="CA-2015-162537"/>
    <x v="166"/>
    <d v="2015-11-03T00:00:00"/>
    <x v="1"/>
    <s v="RD-19585"/>
    <s v="Rob Dowd"/>
    <x v="0"/>
    <s v="United States"/>
    <x v="0"/>
    <x v="0"/>
    <x v="0"/>
    <s v="FUR-FU-10002885"/>
    <s v="Furniture"/>
    <x v="3"/>
    <s v="Magna Visual Magnetic Picture Hangers"/>
    <n v="24.1"/>
    <n v="5"/>
    <n v="9.1579999999999995"/>
    <x v="6"/>
    <x v="1"/>
  </r>
  <r>
    <s v="CA-2015-162537"/>
    <x v="166"/>
    <d v="2015-11-03T00:00:00"/>
    <x v="1"/>
    <s v="RD-19585"/>
    <s v="Rob Dowd"/>
    <x v="0"/>
    <s v="United States"/>
    <x v="0"/>
    <x v="0"/>
    <x v="0"/>
    <s v="FUR-FU-10001918"/>
    <s v="Furniture"/>
    <x v="3"/>
    <s v="C-Line Cubicle Keepers Polyproplyene Holder With Velcro Backings"/>
    <n v="33.11"/>
    <n v="7"/>
    <n v="12.9129"/>
    <x v="6"/>
    <x v="1"/>
  </r>
  <r>
    <s v="CA-2015-124891"/>
    <x v="167"/>
    <d v="2015-07-31T00:00:00"/>
    <x v="3"/>
    <s v="RH-19495"/>
    <s v="Rick Hansen"/>
    <x v="0"/>
    <s v="United States"/>
    <x v="13"/>
    <x v="7"/>
    <x v="2"/>
    <s v="FUR-TA-10002903"/>
    <s v="Furniture"/>
    <x v="2"/>
    <s v="Bevis Round Bullnose 29&quot; High Table Top"/>
    <n v="1090.7819999999999"/>
    <n v="7"/>
    <n v="-290.87520000000001"/>
    <x v="7"/>
    <x v="3"/>
  </r>
  <r>
    <s v="CA-2014-158540"/>
    <x v="168"/>
    <d v="2014-11-26T00:00:00"/>
    <x v="2"/>
    <s v="VG-21790"/>
    <s v="Vivek Gonzalez"/>
    <x v="0"/>
    <s v="United States"/>
    <x v="53"/>
    <x v="2"/>
    <x v="1"/>
    <s v="FUR-FU-10001602"/>
    <s v="Furniture"/>
    <x v="3"/>
    <s v="Eldon Delta Triangular Chair Mat, 52&quot; x 58&quot;, Clear"/>
    <n v="151.72"/>
    <n v="4"/>
    <n v="27.3096"/>
    <x v="3"/>
    <x v="0"/>
  </r>
  <r>
    <s v="CA-2017-118437"/>
    <x v="169"/>
    <d v="2017-06-21T00:00:00"/>
    <x v="0"/>
    <s v="PF-19165"/>
    <s v="Philip Fox"/>
    <x v="0"/>
    <s v="United States"/>
    <x v="84"/>
    <x v="13"/>
    <x v="1"/>
    <s v="FUR-FU-10004848"/>
    <s v="Furniture"/>
    <x v="3"/>
    <s v="Howard Miller 13-3/4&quot; Diameter Brushed Chrome Round Wall Clock"/>
    <n v="155.25"/>
    <n v="3"/>
    <n v="46.575000000000003"/>
    <x v="4"/>
    <x v="2"/>
  </r>
  <r>
    <s v="US-2015-126214"/>
    <x v="170"/>
    <d v="2015-12-24T00:00:00"/>
    <x v="0"/>
    <s v="JS-15880"/>
    <s v="John Stevenson"/>
    <x v="0"/>
    <s v="United States"/>
    <x v="15"/>
    <x v="13"/>
    <x v="1"/>
    <s v="FUR-TA-10003748"/>
    <s v="Furniture"/>
    <x v="2"/>
    <s v="Bevis 36 x 72 Conference Tables"/>
    <n v="1618.37"/>
    <n v="13"/>
    <n v="356.04140000000001"/>
    <x v="0"/>
    <x v="5"/>
  </r>
  <r>
    <s v="CA-2015-108665"/>
    <x v="171"/>
    <d v="2015-07-10T00:00:00"/>
    <x v="1"/>
    <s v="KM-16225"/>
    <s v="Kalyca Meade"/>
    <x v="1"/>
    <s v="United States"/>
    <x v="13"/>
    <x v="7"/>
    <x v="2"/>
    <s v="FUR-FU-10002191"/>
    <s v="Furniture"/>
    <x v="3"/>
    <s v="G.E. Halogen Desk Lamp Bulbs"/>
    <n v="13.96"/>
    <n v="2"/>
    <n v="6.7008000000000001"/>
    <x v="4"/>
    <x v="3"/>
  </r>
  <r>
    <s v="CA-2015-108665"/>
    <x v="171"/>
    <d v="2015-07-10T00:00:00"/>
    <x v="1"/>
    <s v="KM-16225"/>
    <s v="Kalyca Meade"/>
    <x v="1"/>
    <s v="United States"/>
    <x v="13"/>
    <x v="7"/>
    <x v="2"/>
    <s v="FUR-FU-10000965"/>
    <s v="Furniture"/>
    <x v="3"/>
    <s v="Howard Miller 11-1/2&quot; Diameter Ridgewood Wall Clock"/>
    <n v="155.82"/>
    <n v="3"/>
    <n v="63.886200000000002"/>
    <x v="4"/>
    <x v="3"/>
  </r>
  <r>
    <s v="CA-2015-124450"/>
    <x v="172"/>
    <d v="2015-05-03T00:00:00"/>
    <x v="1"/>
    <s v="GT-14710"/>
    <s v="Greg Tran"/>
    <x v="0"/>
    <s v="United States"/>
    <x v="85"/>
    <x v="29"/>
    <x v="2"/>
    <s v="FUR-CH-10000309"/>
    <s v="Furniture"/>
    <x v="1"/>
    <s v="Global Comet Stacking Arm Chair"/>
    <n v="1267.53"/>
    <n v="3"/>
    <n v="316.88249999999999"/>
    <x v="6"/>
    <x v="6"/>
  </r>
  <r>
    <s v="CA-2014-163552"/>
    <x v="173"/>
    <d v="2014-07-15T00:00:00"/>
    <x v="1"/>
    <s v="LA-16780"/>
    <s v="Laura Armstrong"/>
    <x v="1"/>
    <s v="United States"/>
    <x v="33"/>
    <x v="18"/>
    <x v="2"/>
    <s v="FUR-CH-10003379"/>
    <s v="Furniture"/>
    <x v="1"/>
    <s v="Global Commerce Series High-Back Swivel/Tilt Chairs"/>
    <n v="854.94"/>
    <n v="3"/>
    <n v="213.73500000000001"/>
    <x v="4"/>
    <x v="3"/>
  </r>
  <r>
    <s v="CA-2014-163552"/>
    <x v="173"/>
    <d v="2014-07-15T00:00:00"/>
    <x v="1"/>
    <s v="LA-16780"/>
    <s v="Laura Armstrong"/>
    <x v="1"/>
    <s v="United States"/>
    <x v="33"/>
    <x v="18"/>
    <x v="2"/>
    <s v="FUR-FU-10000629"/>
    <s v="Furniture"/>
    <x v="3"/>
    <s v="9-3/4 Diameter Round Wall Clock"/>
    <n v="124.11"/>
    <n v="9"/>
    <n v="52.126199999999997"/>
    <x v="4"/>
    <x v="3"/>
  </r>
  <r>
    <s v="CA-2016-113061"/>
    <x v="74"/>
    <d v="2016-04-26T00:00:00"/>
    <x v="1"/>
    <s v="EL-13735"/>
    <s v="Ed Ludwig"/>
    <x v="2"/>
    <s v="United States"/>
    <x v="86"/>
    <x v="23"/>
    <x v="3"/>
    <s v="FUR-FU-10003975"/>
    <s v="Furniture"/>
    <x v="3"/>
    <s v="Eldon Advantage Chair Mats for Low to Medium Pile Carpets"/>
    <n v="86.62"/>
    <n v="2"/>
    <n v="8.6620000000000008"/>
    <x v="4"/>
    <x v="6"/>
  </r>
  <r>
    <s v="CA-2016-127670"/>
    <x v="174"/>
    <d v="2016-03-24T00:00:00"/>
    <x v="1"/>
    <s v="RD-19660"/>
    <s v="Robert Dilbeck"/>
    <x v="2"/>
    <s v="United States"/>
    <x v="87"/>
    <x v="23"/>
    <x v="3"/>
    <s v="FUR-TA-10001095"/>
    <s v="Furniture"/>
    <x v="2"/>
    <s v="Chromcraft Round Conference Tables"/>
    <n v="697.16"/>
    <n v="4"/>
    <n v="146.40360000000001"/>
    <x v="4"/>
    <x v="9"/>
  </r>
  <r>
    <s v="CA-2016-102981"/>
    <x v="175"/>
    <d v="2016-09-09T00:00:00"/>
    <x v="0"/>
    <s v="MO-17500"/>
    <s v="Mary O'Rourke"/>
    <x v="0"/>
    <s v="United States"/>
    <x v="13"/>
    <x v="7"/>
    <x v="2"/>
    <s v="FUR-BO-10001811"/>
    <s v="Furniture"/>
    <x v="0"/>
    <s v="Atlantic Metals Mobile 5-Shelf Bookcases, Custom Colors"/>
    <n v="722.35199999999998"/>
    <n v="3"/>
    <n v="90.293999999999997"/>
    <x v="0"/>
    <x v="4"/>
  </r>
  <r>
    <s v="CA-2017-152702"/>
    <x v="176"/>
    <d v="2017-10-16T00:00:00"/>
    <x v="1"/>
    <s v="SN-20710"/>
    <s v="Steve Nguyen"/>
    <x v="2"/>
    <s v="United States"/>
    <x v="88"/>
    <x v="8"/>
    <x v="3"/>
    <s v="FUR-CH-10002304"/>
    <s v="Furniture"/>
    <x v="1"/>
    <s v="Global Stack Chair without Arms, Black"/>
    <n v="254.60400000000001"/>
    <n v="14"/>
    <n v="-18.186"/>
    <x v="4"/>
    <x v="1"/>
  </r>
  <r>
    <s v="CA-2016-169103"/>
    <x v="177"/>
    <d v="2016-03-13T00:00:00"/>
    <x v="1"/>
    <s v="ZC-21910"/>
    <s v="Zuschuss Carroll"/>
    <x v="0"/>
    <s v="United States"/>
    <x v="89"/>
    <x v="1"/>
    <x v="0"/>
    <s v="FUR-FU-10004006"/>
    <s v="Furniture"/>
    <x v="3"/>
    <s v="Deflect-o DuraMat Lighweight, Studded, Beveled Mat for Low Pile Carpeting"/>
    <n v="102.36"/>
    <n v="3"/>
    <n v="-3.8384999999999998"/>
    <x v="2"/>
    <x v="9"/>
  </r>
  <r>
    <s v="US-2015-153500"/>
    <x v="97"/>
    <d v="2015-07-05T00:00:00"/>
    <x v="2"/>
    <s v="DG-13300"/>
    <s v="Deirdre Greer"/>
    <x v="1"/>
    <s v="United States"/>
    <x v="3"/>
    <x v="3"/>
    <x v="2"/>
    <s v="FUR-FU-10000293"/>
    <s v="Furniture"/>
    <x v="3"/>
    <s v="Eldon Antistatic Chair Mats for Low to Medium Pile Carpets"/>
    <n v="168.464"/>
    <n v="2"/>
    <n v="-29.481200000000001"/>
    <x v="3"/>
    <x v="3"/>
  </r>
  <r>
    <s v="US-2015-153500"/>
    <x v="97"/>
    <d v="2015-07-05T00:00:00"/>
    <x v="2"/>
    <s v="DG-13300"/>
    <s v="Deirdre Greer"/>
    <x v="1"/>
    <s v="United States"/>
    <x v="3"/>
    <x v="3"/>
    <x v="2"/>
    <s v="FUR-FU-10004460"/>
    <s v="Furniture"/>
    <x v="3"/>
    <s v="Howard Miller 12&quot; Round Wall Clock"/>
    <n v="282.88799999999998"/>
    <n v="9"/>
    <n v="56.577599999999997"/>
    <x v="3"/>
    <x v="3"/>
  </r>
  <r>
    <s v="CA-2015-110667"/>
    <x v="178"/>
    <d v="2015-04-08T00:00:00"/>
    <x v="1"/>
    <s v="NF-18595"/>
    <s v="Nicole Fjeld"/>
    <x v="2"/>
    <s v="United States"/>
    <x v="13"/>
    <x v="7"/>
    <x v="2"/>
    <s v="FUR-FU-10004622"/>
    <s v="Furniture"/>
    <x v="3"/>
    <s v="Eldon Advantage Foldable Chair Mats for Low Pile Carpets"/>
    <n v="108.4"/>
    <n v="2"/>
    <n v="22.763999999999999"/>
    <x v="4"/>
    <x v="6"/>
  </r>
  <r>
    <s v="US-2015-125374"/>
    <x v="179"/>
    <d v="2015-03-29T00:00:00"/>
    <x v="1"/>
    <s v="JD-16060"/>
    <s v="Julia Dunbar"/>
    <x v="0"/>
    <s v="United States"/>
    <x v="6"/>
    <x v="5"/>
    <x v="3"/>
    <s v="FUR-CH-10003396"/>
    <s v="Furniture"/>
    <x v="1"/>
    <s v="Global Deluxe Steno Chair"/>
    <n v="107.77200000000001"/>
    <n v="2"/>
    <n v="-29.252400000000002"/>
    <x v="6"/>
    <x v="9"/>
  </r>
  <r>
    <s v="CA-2016-157686"/>
    <x v="180"/>
    <d v="2016-10-02T00:00:00"/>
    <x v="2"/>
    <s v="BD-11620"/>
    <s v="Brian DeCherney"/>
    <x v="0"/>
    <s v="United States"/>
    <x v="28"/>
    <x v="2"/>
    <x v="1"/>
    <s v="FUR-CH-10001146"/>
    <s v="Furniture"/>
    <x v="1"/>
    <s v="Global Value Mid-Back Manager's Chair, Gray"/>
    <n v="194.84800000000001"/>
    <n v="4"/>
    <n v="12.178000000000001"/>
    <x v="5"/>
    <x v="1"/>
  </r>
  <r>
    <s v="CA-2015-110016"/>
    <x v="101"/>
    <d v="2015-12-04T00:00:00"/>
    <x v="1"/>
    <s v="BT-11395"/>
    <s v="Bill Tyler"/>
    <x v="1"/>
    <s v="United States"/>
    <x v="25"/>
    <x v="17"/>
    <x v="3"/>
    <s v="FUR-CH-10002880"/>
    <s v="Furniture"/>
    <x v="1"/>
    <s v="Global High-Back Leather Tilter, Burgundy"/>
    <n v="1106.9100000000001"/>
    <n v="9"/>
    <n v="121.76009999999999"/>
    <x v="2"/>
    <x v="0"/>
  </r>
  <r>
    <s v="US-2016-143819"/>
    <x v="181"/>
    <d v="2016-03-05T00:00:00"/>
    <x v="1"/>
    <s v="KD-16270"/>
    <s v="Karen Daniels"/>
    <x v="0"/>
    <s v="United States"/>
    <x v="90"/>
    <x v="7"/>
    <x v="2"/>
    <s v="FUR-TA-10001095"/>
    <s v="Furniture"/>
    <x v="2"/>
    <s v="Chromcraft Round Conference Tables"/>
    <n v="836.59199999999998"/>
    <n v="8"/>
    <n v="-264.92079999999999"/>
    <x v="4"/>
    <x v="9"/>
  </r>
  <r>
    <s v="CA-2017-158407"/>
    <x v="182"/>
    <d v="2017-06-10T00:00:00"/>
    <x v="1"/>
    <s v="LW-16990"/>
    <s v="Lindsay Williams"/>
    <x v="1"/>
    <s v="United States"/>
    <x v="91"/>
    <x v="30"/>
    <x v="0"/>
    <s v="FUR-FU-10001967"/>
    <s v="Furniture"/>
    <x v="3"/>
    <s v="Telescoping Adjustable Floor Lamp"/>
    <n v="31.984000000000002"/>
    <n v="2"/>
    <n v="1.9990000000000001"/>
    <x v="6"/>
    <x v="2"/>
  </r>
  <r>
    <s v="CA-2014-159338"/>
    <x v="183"/>
    <d v="2014-06-28T00:00:00"/>
    <x v="2"/>
    <s v="NS-18640"/>
    <s v="Noel Staavos"/>
    <x v="1"/>
    <s v="United States"/>
    <x v="2"/>
    <x v="2"/>
    <x v="1"/>
    <s v="FUR-TA-10004147"/>
    <s v="Furniture"/>
    <x v="2"/>
    <s v="Hon 4060 Series Tables"/>
    <n v="447.84"/>
    <n v="5"/>
    <n v="11.196"/>
    <x v="0"/>
    <x v="2"/>
  </r>
  <r>
    <s v="CA-2016-107216"/>
    <x v="184"/>
    <d v="2016-06-17T00:00:00"/>
    <x v="2"/>
    <s v="PV-18985"/>
    <s v="Paul Van Hugh"/>
    <x v="2"/>
    <s v="United States"/>
    <x v="28"/>
    <x v="2"/>
    <x v="1"/>
    <s v="FUR-FU-10000206"/>
    <s v="Furniture"/>
    <x v="3"/>
    <s v="GE General Purpose, Extra Long Life, Showcase &amp; Floodlight Incandescent Bulbs"/>
    <n v="8.73"/>
    <n v="3"/>
    <n v="4.1031000000000004"/>
    <x v="0"/>
    <x v="2"/>
  </r>
  <r>
    <s v="US-2016-110156"/>
    <x v="185"/>
    <d v="2016-11-24T00:00:00"/>
    <x v="1"/>
    <s v="EH-13945"/>
    <s v="Eric Hoffmann"/>
    <x v="0"/>
    <s v="United States"/>
    <x v="6"/>
    <x v="5"/>
    <x v="3"/>
    <s v="FUR-FU-10000206"/>
    <s v="Furniture"/>
    <x v="3"/>
    <s v="GE General Purpose, Extra Long Life, Showcase &amp; Floodlight Incandescent Bulbs"/>
    <n v="2.3279999999999998"/>
    <n v="2"/>
    <n v="-0.75660000000000005"/>
    <x v="2"/>
    <x v="0"/>
  </r>
  <r>
    <s v="CA-2017-140585"/>
    <x v="186"/>
    <d v="2017-12-23T00:00:00"/>
    <x v="0"/>
    <s v="RA-19915"/>
    <s v="Russell Applegate"/>
    <x v="0"/>
    <s v="United States"/>
    <x v="92"/>
    <x v="2"/>
    <x v="1"/>
    <s v="FUR-BO-10002206"/>
    <s v="Furniture"/>
    <x v="0"/>
    <s v="Bush Saratoga Collection 5-Shelf Bookcase, Hanover Cherry, *Special Order"/>
    <n v="119.833"/>
    <n v="1"/>
    <n v="-12.6882"/>
    <x v="2"/>
    <x v="5"/>
  </r>
  <r>
    <s v="US-2014-147627"/>
    <x v="187"/>
    <d v="2014-01-26T00:00:00"/>
    <x v="1"/>
    <s v="HL-15040"/>
    <s v="Hunter Lopez"/>
    <x v="0"/>
    <s v="United States"/>
    <x v="93"/>
    <x v="31"/>
    <x v="0"/>
    <s v="FUR-FU-10003194"/>
    <s v="Furniture"/>
    <x v="3"/>
    <s v="Eldon Expressions Desk Accessory, Wood Pencil Holder, Oak"/>
    <n v="38.6"/>
    <n v="4"/>
    <n v="11.58"/>
    <x v="6"/>
    <x v="8"/>
  </r>
  <r>
    <s v="US-2014-147627"/>
    <x v="187"/>
    <d v="2014-01-26T00:00:00"/>
    <x v="1"/>
    <s v="HL-15040"/>
    <s v="Hunter Lopez"/>
    <x v="0"/>
    <s v="United States"/>
    <x v="93"/>
    <x v="31"/>
    <x v="0"/>
    <s v="FUR-CH-10002331"/>
    <s v="Furniture"/>
    <x v="1"/>
    <s v="Hon 4700 Series Mobuis Mid-Back Task Chairs with Adjustable Arms"/>
    <n v="1067.94"/>
    <n v="3"/>
    <n v="224.26740000000001"/>
    <x v="6"/>
    <x v="8"/>
  </r>
  <r>
    <s v="CA-2016-112102"/>
    <x v="188"/>
    <d v="2016-04-16T00:00:00"/>
    <x v="1"/>
    <s v="BD-11605"/>
    <s v="Brian Dahlen"/>
    <x v="0"/>
    <s v="United States"/>
    <x v="76"/>
    <x v="25"/>
    <x v="0"/>
    <s v="FUR-TA-10004086"/>
    <s v="Furniture"/>
    <x v="2"/>
    <s v="KI Adjustable-Height Table"/>
    <n v="343.92"/>
    <n v="4"/>
    <n v="75.662400000000005"/>
    <x v="4"/>
    <x v="6"/>
  </r>
  <r>
    <s v="CA-2014-146969"/>
    <x v="189"/>
    <d v="2014-10-03T00:00:00"/>
    <x v="1"/>
    <s v="AP-10915"/>
    <s v="Arthur Prichep"/>
    <x v="0"/>
    <s v="United States"/>
    <x v="2"/>
    <x v="2"/>
    <x v="1"/>
    <s v="FUR-FU-10004188"/>
    <s v="Furniture"/>
    <x v="3"/>
    <s v="Luxo Professional Combination Clamp-On Lamps"/>
    <n v="204.6"/>
    <n v="2"/>
    <n v="53.195999999999998"/>
    <x v="4"/>
    <x v="4"/>
  </r>
  <r>
    <s v="CA-2015-113971"/>
    <x v="190"/>
    <d v="2015-05-14T00:00:00"/>
    <x v="1"/>
    <s v="CB-12535"/>
    <s v="Claudia Bergmann"/>
    <x v="1"/>
    <s v="United States"/>
    <x v="94"/>
    <x v="15"/>
    <x v="2"/>
    <s v="FUR-FU-10001852"/>
    <s v="Furniture"/>
    <x v="3"/>
    <s v="Eldon Regeneration Recycled Desk Accessories, Smoke"/>
    <n v="8.3520000000000003"/>
    <n v="6"/>
    <n v="1.2527999999999999"/>
    <x v="6"/>
    <x v="7"/>
  </r>
  <r>
    <s v="CA-2014-136567"/>
    <x v="191"/>
    <d v="2014-12-21T00:00:00"/>
    <x v="2"/>
    <s v="PS-19045"/>
    <s v="Penelope Sewall"/>
    <x v="2"/>
    <s v="United States"/>
    <x v="95"/>
    <x v="25"/>
    <x v="0"/>
    <s v="FUR-TA-10001932"/>
    <s v="Furniture"/>
    <x v="2"/>
    <s v="Chromcraft 48&quot; x 96&quot; Racetrack Double Pedestal Table"/>
    <n v="2244.48"/>
    <n v="7"/>
    <n v="493.78559999999999"/>
    <x v="5"/>
    <x v="5"/>
  </r>
  <r>
    <s v="CA-2014-136567"/>
    <x v="191"/>
    <d v="2014-12-21T00:00:00"/>
    <x v="2"/>
    <s v="PS-19045"/>
    <s v="Penelope Sewall"/>
    <x v="2"/>
    <s v="United States"/>
    <x v="95"/>
    <x v="25"/>
    <x v="0"/>
    <s v="FUR-TA-10000617"/>
    <s v="Furniture"/>
    <x v="2"/>
    <s v="Hon Practical Foundations 30 x 60 Training Table, Light Gray/Charcoal"/>
    <n v="455.1"/>
    <n v="2"/>
    <n v="100.122"/>
    <x v="5"/>
    <x v="5"/>
  </r>
  <r>
    <s v="CA-2016-149314"/>
    <x v="192"/>
    <d v="2016-07-07T00:00:00"/>
    <x v="0"/>
    <s v="GB-14530"/>
    <s v="George Bell"/>
    <x v="1"/>
    <s v="United States"/>
    <x v="2"/>
    <x v="2"/>
    <x v="1"/>
    <s v="FUR-CH-10002126"/>
    <s v="Furniture"/>
    <x v="1"/>
    <s v="Hon Deluxe Fabric Upholstered Stacking Chairs"/>
    <n v="195.184"/>
    <n v="1"/>
    <n v="19.5184"/>
    <x v="2"/>
    <x v="3"/>
  </r>
  <r>
    <s v="CA-2017-145226"/>
    <x v="64"/>
    <d v="2017-12-10T00:00:00"/>
    <x v="0"/>
    <s v="DL-13315"/>
    <s v="Delfina Latchford"/>
    <x v="0"/>
    <s v="United States"/>
    <x v="13"/>
    <x v="7"/>
    <x v="2"/>
    <s v="FUR-FU-10004952"/>
    <s v="Furniture"/>
    <x v="3"/>
    <s v="C-Line Cubicle Keepers Polyproplyene Holder w/Velcro Back, 8-1/2x11, 25/Bx"/>
    <n v="109.48"/>
    <n v="2"/>
    <n v="33.938800000000001"/>
    <x v="3"/>
    <x v="5"/>
  </r>
  <r>
    <s v="CA-2016-113621"/>
    <x v="193"/>
    <d v="2016-12-05T00:00:00"/>
    <x v="1"/>
    <s v="JE-15745"/>
    <s v="Joel Eaton"/>
    <x v="0"/>
    <s v="United States"/>
    <x v="96"/>
    <x v="32"/>
    <x v="2"/>
    <s v="FUR-CH-10001270"/>
    <s v="Furniture"/>
    <x v="1"/>
    <s v="Harbour Creations Steel Folding Chair"/>
    <n v="172.5"/>
    <n v="2"/>
    <n v="51.75"/>
    <x v="4"/>
    <x v="5"/>
  </r>
  <r>
    <s v="CA-2017-117212"/>
    <x v="194"/>
    <d v="2017-02-28T00:00:00"/>
    <x v="0"/>
    <s v="BT-11530"/>
    <s v="Bradley Talbott"/>
    <x v="2"/>
    <s v="United States"/>
    <x v="2"/>
    <x v="2"/>
    <x v="1"/>
    <s v="FUR-CH-10003973"/>
    <s v="Furniture"/>
    <x v="1"/>
    <s v="GuestStacker Chair with Chrome Finish Legs"/>
    <n v="892.22400000000005"/>
    <n v="3"/>
    <n v="89.222399999999993"/>
    <x v="3"/>
    <x v="11"/>
  </r>
  <r>
    <s v="US-2015-130519"/>
    <x v="195"/>
    <d v="2015-09-15T00:00:00"/>
    <x v="3"/>
    <s v="NG-18355"/>
    <s v="Nat Gilpin"/>
    <x v="1"/>
    <s v="United States"/>
    <x v="97"/>
    <x v="1"/>
    <x v="0"/>
    <s v="FUR-FU-10002268"/>
    <s v="Furniture"/>
    <x v="3"/>
    <s v="Ultra Door Push Plate"/>
    <n v="15.712"/>
    <n v="4"/>
    <n v="2.5531999999999999"/>
    <x v="7"/>
    <x v="4"/>
  </r>
  <r>
    <s v="US-2015-130519"/>
    <x v="195"/>
    <d v="2015-09-15T00:00:00"/>
    <x v="3"/>
    <s v="NG-18355"/>
    <s v="Nat Gilpin"/>
    <x v="1"/>
    <s v="United States"/>
    <x v="97"/>
    <x v="1"/>
    <x v="0"/>
    <s v="FUR-FU-10003394"/>
    <s v="Furniture"/>
    <x v="3"/>
    <s v="Tenex &quot;The Solids&quot; Textured Chair Mats"/>
    <n v="55.968000000000004"/>
    <n v="1"/>
    <n v="-2.0988000000000002"/>
    <x v="7"/>
    <x v="4"/>
  </r>
  <r>
    <s v="CA-2016-130946"/>
    <x v="57"/>
    <d v="2016-04-12T00:00:00"/>
    <x v="1"/>
    <s v="ZC-21910"/>
    <s v="Zuschuss Carroll"/>
    <x v="0"/>
    <s v="United States"/>
    <x v="6"/>
    <x v="5"/>
    <x v="3"/>
    <s v="FUR-CH-10004540"/>
    <s v="Furniture"/>
    <x v="1"/>
    <s v="Global Chrome Stack Chair"/>
    <n v="95.983999999999995"/>
    <n v="4"/>
    <n v="-4.1135999999999999"/>
    <x v="4"/>
    <x v="6"/>
  </r>
  <r>
    <s v="CA-2016-114727"/>
    <x v="196"/>
    <d v="2016-07-24T00:00:00"/>
    <x v="1"/>
    <s v="LS-16945"/>
    <s v="Linda Southworth"/>
    <x v="1"/>
    <s v="United States"/>
    <x v="22"/>
    <x v="12"/>
    <x v="1"/>
    <s v="FUR-CH-10002335"/>
    <s v="Furniture"/>
    <x v="1"/>
    <s v="Hon GuestStacker Chair"/>
    <n v="544.00800000000004"/>
    <n v="3"/>
    <n v="40.800600000000003"/>
    <x v="6"/>
    <x v="3"/>
  </r>
  <r>
    <s v="CA-2016-114727"/>
    <x v="196"/>
    <d v="2016-07-24T00:00:00"/>
    <x v="1"/>
    <s v="LS-16945"/>
    <s v="Linda Southworth"/>
    <x v="1"/>
    <s v="United States"/>
    <x v="22"/>
    <x v="12"/>
    <x v="1"/>
    <s v="FUR-CH-10002331"/>
    <s v="Furniture"/>
    <x v="1"/>
    <s v="Hon 4700 Series Mobuis Mid-Back Task Chairs with Adjustable Arms"/>
    <n v="854.35199999999998"/>
    <n v="3"/>
    <n v="10.679399999999999"/>
    <x v="6"/>
    <x v="3"/>
  </r>
  <r>
    <s v="CA-2016-137050"/>
    <x v="197"/>
    <d v="2016-07-18T00:00:00"/>
    <x v="0"/>
    <s v="SW-20755"/>
    <s v="Steven Ward"/>
    <x v="1"/>
    <s v="United States"/>
    <x v="13"/>
    <x v="7"/>
    <x v="2"/>
    <s v="FUR-BO-10004695"/>
    <s v="Furniture"/>
    <x v="0"/>
    <s v="O'Sullivan 2-Door Barrister Bookcase in Odessa Pine"/>
    <n v="579.13599999999997"/>
    <n v="4"/>
    <n v="21.717600000000001"/>
    <x v="4"/>
    <x v="3"/>
  </r>
  <r>
    <s v="US-2017-118087"/>
    <x v="198"/>
    <d v="2017-09-13T00:00:00"/>
    <x v="1"/>
    <s v="SP-20620"/>
    <s v="Stefania Perrino"/>
    <x v="1"/>
    <s v="United States"/>
    <x v="3"/>
    <x v="3"/>
    <x v="2"/>
    <s v="FUR-CH-10004860"/>
    <s v="Furniture"/>
    <x v="1"/>
    <s v="Global Low Back Tilter Chair"/>
    <n v="141.37200000000001"/>
    <n v="2"/>
    <n v="-48.470399999999998"/>
    <x v="4"/>
    <x v="4"/>
  </r>
  <r>
    <s v="US-2017-118087"/>
    <x v="198"/>
    <d v="2017-09-13T00:00:00"/>
    <x v="1"/>
    <s v="SP-20620"/>
    <s v="Stefania Perrino"/>
    <x v="1"/>
    <s v="United States"/>
    <x v="3"/>
    <x v="3"/>
    <x v="2"/>
    <s v="FUR-FU-10001867"/>
    <s v="Furniture"/>
    <x v="3"/>
    <s v="Eldon Expressions Punched Metal &amp; Wood Desk Accessories, Pewter &amp; Cherry"/>
    <n v="17.024000000000001"/>
    <n v="2"/>
    <n v="1.7023999999999999"/>
    <x v="4"/>
    <x v="4"/>
  </r>
  <r>
    <s v="CA-2016-126004"/>
    <x v="199"/>
    <d v="2016-12-05T00:00:00"/>
    <x v="2"/>
    <s v="BM-11140"/>
    <s v="Becky Martin"/>
    <x v="0"/>
    <s v="United States"/>
    <x v="13"/>
    <x v="7"/>
    <x v="2"/>
    <s v="FUR-FU-10001602"/>
    <s v="Furniture"/>
    <x v="3"/>
    <s v="Eldon Delta Triangular Chair Mat, 52&quot; x 58&quot;, Clear"/>
    <n v="113.79"/>
    <n v="3"/>
    <n v="20.482199999999999"/>
    <x v="5"/>
    <x v="5"/>
  </r>
  <r>
    <s v="CA-2017-100013"/>
    <x v="200"/>
    <d v="2017-11-11T00:00:00"/>
    <x v="1"/>
    <s v="ZC-21910"/>
    <s v="Zuschuss Carroll"/>
    <x v="0"/>
    <s v="United States"/>
    <x v="2"/>
    <x v="2"/>
    <x v="1"/>
    <s v="FUR-FU-10001424"/>
    <s v="Furniture"/>
    <x v="3"/>
    <s v="Dax Clear Box Frame"/>
    <n v="8.73"/>
    <n v="1"/>
    <n v="2.9681999999999999"/>
    <x v="2"/>
    <x v="0"/>
  </r>
  <r>
    <s v="CA-2016-144344"/>
    <x v="48"/>
    <d v="2016-10-28T00:00:00"/>
    <x v="3"/>
    <s v="PG-18820"/>
    <s v="Patrick Gardner"/>
    <x v="0"/>
    <s v="United States"/>
    <x v="98"/>
    <x v="1"/>
    <x v="0"/>
    <s v="FUR-FU-10000076"/>
    <s v="Furniture"/>
    <x v="3"/>
    <s v="24-Hour Round Wall Clock"/>
    <n v="47.951999999999998"/>
    <n v="3"/>
    <n v="13.786199999999999"/>
    <x v="7"/>
    <x v="1"/>
  </r>
  <r>
    <s v="CA-2016-144344"/>
    <x v="48"/>
    <d v="2016-10-28T00:00:00"/>
    <x v="3"/>
    <s v="PG-18820"/>
    <s v="Patrick Gardner"/>
    <x v="0"/>
    <s v="United States"/>
    <x v="98"/>
    <x v="1"/>
    <x v="0"/>
    <s v="FUR-FU-10003268"/>
    <s v="Furniture"/>
    <x v="3"/>
    <s v="Eldon Radial Chair Mat for Low to Medium Pile Carpets"/>
    <n v="63.968000000000004"/>
    <n v="2"/>
    <n v="0"/>
    <x v="7"/>
    <x v="1"/>
  </r>
  <r>
    <s v="CA-2016-144344"/>
    <x v="48"/>
    <d v="2016-10-28T00:00:00"/>
    <x v="3"/>
    <s v="PG-18820"/>
    <s v="Patrick Gardner"/>
    <x v="0"/>
    <s v="United States"/>
    <x v="98"/>
    <x v="1"/>
    <x v="0"/>
    <s v="FUR-FU-10003553"/>
    <s v="Furniture"/>
    <x v="3"/>
    <s v="Howard Miller 13-1/2&quot; Diameter Rosebrook Wall Clock"/>
    <n v="165.048"/>
    <n v="3"/>
    <n v="41.262"/>
    <x v="7"/>
    <x v="1"/>
  </r>
  <r>
    <s v="CA-2014-127012"/>
    <x v="201"/>
    <d v="2014-08-15T00:00:00"/>
    <x v="1"/>
    <s v="GM-14680"/>
    <s v="Greg Matthias"/>
    <x v="0"/>
    <s v="United States"/>
    <x v="15"/>
    <x v="13"/>
    <x v="1"/>
    <s v="FUR-FU-10003691"/>
    <s v="Furniture"/>
    <x v="3"/>
    <s v="Eldon Image Series Desk Accessories, Ebony"/>
    <n v="12.35"/>
    <n v="1"/>
    <n v="5.4340000000000002"/>
    <x v="4"/>
    <x v="10"/>
  </r>
  <r>
    <s v="CA-2014-168494"/>
    <x v="202"/>
    <d v="2014-12-14T00:00:00"/>
    <x v="0"/>
    <s v="NP-18700"/>
    <s v="Nora Preis"/>
    <x v="0"/>
    <s v="United States"/>
    <x v="99"/>
    <x v="2"/>
    <x v="1"/>
    <s v="FUR-TA-10004619"/>
    <s v="Furniture"/>
    <x v="2"/>
    <s v="Hon Non-Folding Utility Tables"/>
    <n v="764.68799999999999"/>
    <n v="6"/>
    <n v="95.585999999999999"/>
    <x v="3"/>
    <x v="5"/>
  </r>
  <r>
    <s v="CA-2014-168494"/>
    <x v="202"/>
    <d v="2014-12-14T00:00:00"/>
    <x v="0"/>
    <s v="NP-18700"/>
    <s v="Nora Preis"/>
    <x v="0"/>
    <s v="United States"/>
    <x v="99"/>
    <x v="2"/>
    <x v="1"/>
    <s v="FUR-TA-10003473"/>
    <s v="Furniture"/>
    <x v="2"/>
    <s v="Bretford Rectangular Conference Table Tops"/>
    <n v="3610.848"/>
    <n v="12"/>
    <n v="135.4068"/>
    <x v="3"/>
    <x v="5"/>
  </r>
  <r>
    <s v="CA-2014-168494"/>
    <x v="202"/>
    <d v="2014-12-14T00:00:00"/>
    <x v="0"/>
    <s v="NP-18700"/>
    <s v="Nora Preis"/>
    <x v="0"/>
    <s v="United States"/>
    <x v="99"/>
    <x v="2"/>
    <x v="1"/>
    <s v="FUR-BO-10004467"/>
    <s v="Furniture"/>
    <x v="0"/>
    <s v="Bestar Classic Bookcase"/>
    <n v="254.97450000000001"/>
    <n v="3"/>
    <n v="11.998799999999999"/>
    <x v="3"/>
    <x v="5"/>
  </r>
  <r>
    <s v="CA-2017-115602"/>
    <x v="186"/>
    <d v="2017-12-24T00:00:00"/>
    <x v="1"/>
    <s v="DJ-13630"/>
    <s v="Doug Jacobs"/>
    <x v="0"/>
    <s v="United States"/>
    <x v="13"/>
    <x v="7"/>
    <x v="2"/>
    <s v="FUR-CH-10001708"/>
    <s v="Furniture"/>
    <x v="1"/>
    <s v="Office Star - Contemporary Swivel Chair with Padded Adjustable Arms and Flex Back"/>
    <n v="1141.9380000000001"/>
    <n v="9"/>
    <n v="139.5702"/>
    <x v="6"/>
    <x v="5"/>
  </r>
  <r>
    <s v="CA-2017-144638"/>
    <x v="203"/>
    <d v="2017-03-14T00:00:00"/>
    <x v="1"/>
    <s v="MH-18115"/>
    <s v="Mick Hernandez"/>
    <x v="2"/>
    <s v="United States"/>
    <x v="100"/>
    <x v="3"/>
    <x v="2"/>
    <s v="FUR-FU-10003724"/>
    <s v="Furniture"/>
    <x v="3"/>
    <s v="Westinghouse Clip-On Gooseneck Lamps"/>
    <n v="6.6959999999999997"/>
    <n v="1"/>
    <n v="0.50219999999999998"/>
    <x v="4"/>
    <x v="9"/>
  </r>
  <r>
    <s v="CA-2017-144638"/>
    <x v="203"/>
    <d v="2017-03-14T00:00:00"/>
    <x v="1"/>
    <s v="MH-18115"/>
    <s v="Mick Hernandez"/>
    <x v="2"/>
    <s v="United States"/>
    <x v="100"/>
    <x v="3"/>
    <x v="2"/>
    <s v="FUR-FU-10003535"/>
    <s v="Furniture"/>
    <x v="3"/>
    <s v="Howard Miller Distant Time Traveler Alarm Clock"/>
    <n v="43.872"/>
    <n v="2"/>
    <n v="11.516400000000001"/>
    <x v="4"/>
    <x v="9"/>
  </r>
  <r>
    <s v="CA-2016-155992"/>
    <x v="180"/>
    <d v="2016-10-02T00:00:00"/>
    <x v="2"/>
    <s v="CC-12220"/>
    <s v="Chris Cortes"/>
    <x v="0"/>
    <s v="United States"/>
    <x v="101"/>
    <x v="6"/>
    <x v="3"/>
    <s v="FUR-FU-10003724"/>
    <s v="Furniture"/>
    <x v="3"/>
    <s v="Westinghouse Clip-On Gooseneck Lamps"/>
    <n v="41.85"/>
    <n v="5"/>
    <n v="10.881"/>
    <x v="5"/>
    <x v="1"/>
  </r>
  <r>
    <s v="US-2014-167738"/>
    <x v="109"/>
    <d v="2014-12-29T00:00:00"/>
    <x v="1"/>
    <s v="JC-16105"/>
    <s v="Julie Creighton"/>
    <x v="1"/>
    <s v="United States"/>
    <x v="2"/>
    <x v="2"/>
    <x v="1"/>
    <s v="FUR-CH-10001146"/>
    <s v="Furniture"/>
    <x v="1"/>
    <s v="Global Value Mid-Back Manager's Chair, Gray"/>
    <n v="292.27199999999999"/>
    <n v="6"/>
    <n v="18.266999999999999"/>
    <x v="2"/>
    <x v="5"/>
  </r>
  <r>
    <s v="CA-2017-121412"/>
    <x v="204"/>
    <d v="2017-09-27T00:00:00"/>
    <x v="1"/>
    <s v="BG-11695"/>
    <s v="Brooke Gillingham"/>
    <x v="1"/>
    <s v="United States"/>
    <x v="74"/>
    <x v="12"/>
    <x v="1"/>
    <s v="FUR-FU-10000246"/>
    <s v="Furniture"/>
    <x v="3"/>
    <s v="Aluminum Document Frame"/>
    <n v="29.327999999999999"/>
    <n v="3"/>
    <n v="3.6659999999999999"/>
    <x v="4"/>
    <x v="4"/>
  </r>
  <r>
    <s v="CA-2016-119186"/>
    <x v="205"/>
    <d v="2016-05-26T00:00:00"/>
    <x v="3"/>
    <s v="MS-17710"/>
    <s v="Maurice Satty"/>
    <x v="0"/>
    <s v="United States"/>
    <x v="50"/>
    <x v="5"/>
    <x v="3"/>
    <s v="FUR-CH-10001973"/>
    <s v="Furniture"/>
    <x v="1"/>
    <s v="Office Star Flex Back Scooter Chair with White Frame"/>
    <n v="388.43"/>
    <n v="5"/>
    <n v="-88.784000000000006"/>
    <x v="7"/>
    <x v="7"/>
  </r>
  <r>
    <s v="CA-2016-154711"/>
    <x v="206"/>
    <d v="2016-11-26T00:00:00"/>
    <x v="1"/>
    <s v="TB-21355"/>
    <s v="Todd Boyes"/>
    <x v="1"/>
    <s v="United States"/>
    <x v="13"/>
    <x v="7"/>
    <x v="2"/>
    <s v="FUR-FU-10000397"/>
    <s v="Furniture"/>
    <x v="3"/>
    <s v="Luxo Economy Swing Arm Lamp"/>
    <n v="39.880000000000003"/>
    <n v="2"/>
    <n v="11.166399999999999"/>
    <x v="4"/>
    <x v="0"/>
  </r>
  <r>
    <s v="CA-2016-137043"/>
    <x v="207"/>
    <d v="2016-12-25T00:00:00"/>
    <x v="0"/>
    <s v="LC-17140"/>
    <s v="Logan Currie"/>
    <x v="0"/>
    <s v="United States"/>
    <x v="76"/>
    <x v="25"/>
    <x v="0"/>
    <s v="FUR-FU-10003664"/>
    <s v="Furniture"/>
    <x v="3"/>
    <s v="Electrix Architect's Clamp-On Swing Arm Lamp, Black"/>
    <n v="572.76"/>
    <n v="6"/>
    <n v="166.10040000000001"/>
    <x v="3"/>
    <x v="5"/>
  </r>
  <r>
    <s v="CA-2016-137043"/>
    <x v="207"/>
    <d v="2016-12-25T00:00:00"/>
    <x v="0"/>
    <s v="LC-17140"/>
    <s v="Logan Currie"/>
    <x v="0"/>
    <s v="United States"/>
    <x v="76"/>
    <x v="25"/>
    <x v="0"/>
    <s v="FUR-FU-10003664"/>
    <s v="Furniture"/>
    <x v="3"/>
    <s v="Electrix Architect's Clamp-On Swing Arm Lamp, Black"/>
    <n v="286.38"/>
    <n v="3"/>
    <n v="83.050200000000004"/>
    <x v="3"/>
    <x v="5"/>
  </r>
  <r>
    <s v="CA-2015-115847"/>
    <x v="208"/>
    <d v="2015-09-24T00:00:00"/>
    <x v="0"/>
    <s v="TC-21535"/>
    <s v="Tracy Collins"/>
    <x v="2"/>
    <s v="United States"/>
    <x v="58"/>
    <x v="25"/>
    <x v="0"/>
    <s v="FUR-BO-10003433"/>
    <s v="Furniture"/>
    <x v="0"/>
    <s v="Sauder Cornerstone Collection Library"/>
    <n v="61.96"/>
    <n v="2"/>
    <n v="4.3372000000000002"/>
    <x v="2"/>
    <x v="4"/>
  </r>
  <r>
    <s v="US-2017-126179"/>
    <x v="209"/>
    <d v="2017-07-07T00:00:00"/>
    <x v="1"/>
    <s v="CS-12460"/>
    <s v="Chuck Sachs"/>
    <x v="0"/>
    <s v="United States"/>
    <x v="29"/>
    <x v="24"/>
    <x v="0"/>
    <s v="FUR-FU-10002554"/>
    <s v="Furniture"/>
    <x v="3"/>
    <s v="Westinghouse Floor Lamp with Metal Mesh Shade, Black"/>
    <n v="23.99"/>
    <n v="1"/>
    <n v="5.5176999999999996"/>
    <x v="4"/>
    <x v="3"/>
  </r>
  <r>
    <s v="CA-2016-141397"/>
    <x v="210"/>
    <d v="2016-06-21T00:00:00"/>
    <x v="2"/>
    <s v="RC-19825"/>
    <s v="Roy Collins"/>
    <x v="0"/>
    <s v="United States"/>
    <x v="102"/>
    <x v="2"/>
    <x v="1"/>
    <s v="FUR-CH-10003846"/>
    <s v="Furniture"/>
    <x v="1"/>
    <s v="Hon Valutask Swivel Chairs"/>
    <n v="161.56800000000001"/>
    <n v="2"/>
    <n v="-8.0784000000000002"/>
    <x v="5"/>
    <x v="2"/>
  </r>
  <r>
    <s v="US-2016-134488"/>
    <x v="211"/>
    <d v="2016-10-01T00:00:00"/>
    <x v="1"/>
    <s v="PK-19075"/>
    <s v="Pete Kriz"/>
    <x v="0"/>
    <s v="United States"/>
    <x v="29"/>
    <x v="15"/>
    <x v="2"/>
    <s v="FUR-CH-10003199"/>
    <s v="Furniture"/>
    <x v="1"/>
    <s v="Office Star - Contemporary Task Swivel Chair"/>
    <n v="155.37200000000001"/>
    <n v="2"/>
    <n v="-13.317600000000001"/>
    <x v="1"/>
    <x v="4"/>
  </r>
  <r>
    <s v="CA-2016-145919"/>
    <x v="105"/>
    <d v="2016-12-23T00:00:00"/>
    <x v="1"/>
    <s v="HG-14965"/>
    <s v="Henry Goldwyn"/>
    <x v="1"/>
    <s v="United States"/>
    <x v="2"/>
    <x v="2"/>
    <x v="1"/>
    <s v="FUR-FU-10004960"/>
    <s v="Furniture"/>
    <x v="3"/>
    <s v="Seth Thomas 12&quot; Clock w/ Goldtone Case"/>
    <n v="183.84"/>
    <n v="8"/>
    <n v="62.505600000000001"/>
    <x v="2"/>
    <x v="5"/>
  </r>
  <r>
    <s v="CA-2015-120439"/>
    <x v="212"/>
    <d v="2015-06-18T00:00:00"/>
    <x v="1"/>
    <s v="AD-10180"/>
    <s v="Alan Dominguez"/>
    <x v="2"/>
    <s v="United States"/>
    <x v="3"/>
    <x v="3"/>
    <x v="2"/>
    <s v="FUR-FU-10001867"/>
    <s v="Furniture"/>
    <x v="3"/>
    <s v="Eldon Expressions Punched Metal &amp; Wood Desk Accessories, Pewter &amp; Cherry"/>
    <n v="51.072000000000003"/>
    <n v="6"/>
    <n v="5.1071999999999997"/>
    <x v="4"/>
    <x v="2"/>
  </r>
  <r>
    <s v="CA-2016-142762"/>
    <x v="213"/>
    <d v="2016-05-27T00:00:00"/>
    <x v="1"/>
    <s v="LD-17005"/>
    <s v="Lisa DeCherney"/>
    <x v="0"/>
    <s v="United States"/>
    <x v="28"/>
    <x v="2"/>
    <x v="1"/>
    <s v="FUR-FU-10003691"/>
    <s v="Furniture"/>
    <x v="3"/>
    <s v="Eldon Image Series Desk Accessories, Ebony"/>
    <n v="37.049999999999997"/>
    <n v="3"/>
    <n v="16.302"/>
    <x v="4"/>
    <x v="7"/>
  </r>
  <r>
    <s v="US-2017-123281"/>
    <x v="214"/>
    <d v="2017-04-07T00:00:00"/>
    <x v="1"/>
    <s v="JF-15190"/>
    <s v="Jamie Frazer"/>
    <x v="0"/>
    <s v="United States"/>
    <x v="2"/>
    <x v="2"/>
    <x v="1"/>
    <s v="FUR-FU-10003724"/>
    <s v="Furniture"/>
    <x v="3"/>
    <s v="Westinghouse Clip-On Gooseneck Lamps"/>
    <n v="25.11"/>
    <n v="3"/>
    <n v="6.5286"/>
    <x v="2"/>
    <x v="6"/>
  </r>
  <r>
    <s v="CA-2017-100524"/>
    <x v="76"/>
    <d v="2017-04-02T00:00:00"/>
    <x v="0"/>
    <s v="CM-12115"/>
    <s v="Chad McGuire"/>
    <x v="0"/>
    <s v="United States"/>
    <x v="13"/>
    <x v="7"/>
    <x v="2"/>
    <s v="FUR-FU-10004018"/>
    <s v="Furniture"/>
    <x v="3"/>
    <s v="Tensor Computer Mounted Lamp"/>
    <n v="29.78"/>
    <n v="2"/>
    <n v="8.0405999999999995"/>
    <x v="3"/>
    <x v="9"/>
  </r>
  <r>
    <s v="CA-2014-153976"/>
    <x v="215"/>
    <d v="2014-10-08T00:00:00"/>
    <x v="0"/>
    <s v="BP-11290"/>
    <s v="Beth Paige"/>
    <x v="0"/>
    <s v="United States"/>
    <x v="103"/>
    <x v="8"/>
    <x v="3"/>
    <s v="FUR-CH-10002880"/>
    <s v="Furniture"/>
    <x v="1"/>
    <s v="Global High-Back Leather Tilter, Burgundy"/>
    <n v="258.279"/>
    <n v="3"/>
    <n v="-70.104299999999995"/>
    <x v="2"/>
    <x v="1"/>
  </r>
  <r>
    <s v="CA-2017-162978"/>
    <x v="216"/>
    <d v="2017-05-09T00:00:00"/>
    <x v="1"/>
    <s v="LW-16990"/>
    <s v="Lindsay Williams"/>
    <x v="1"/>
    <s v="United States"/>
    <x v="28"/>
    <x v="2"/>
    <x v="1"/>
    <s v="FUR-TA-10003473"/>
    <s v="Furniture"/>
    <x v="2"/>
    <s v="Bretford Rectangular Conference Table Tops"/>
    <n v="300.904"/>
    <n v="1"/>
    <n v="11.283899999999999"/>
    <x v="2"/>
    <x v="7"/>
  </r>
  <r>
    <s v="CA-2017-160045"/>
    <x v="217"/>
    <d v="2017-04-27T00:00:00"/>
    <x v="2"/>
    <s v="LB-16735"/>
    <s v="Larry Blacks"/>
    <x v="0"/>
    <s v="United States"/>
    <x v="50"/>
    <x v="5"/>
    <x v="3"/>
    <s v="FUR-FU-10000010"/>
    <s v="Furniture"/>
    <x v="3"/>
    <s v="DAX Value U-Channel Document Frames, Easel Back"/>
    <n v="1.988"/>
    <n v="1"/>
    <n v="-1.4413"/>
    <x v="5"/>
    <x v="6"/>
  </r>
  <r>
    <s v="US-2014-151925"/>
    <x v="218"/>
    <d v="2014-10-01T00:00:00"/>
    <x v="0"/>
    <s v="KT-16465"/>
    <s v="Kean Takahito"/>
    <x v="0"/>
    <s v="United States"/>
    <x v="2"/>
    <x v="2"/>
    <x v="1"/>
    <s v="FUR-CH-10002961"/>
    <s v="Furniture"/>
    <x v="1"/>
    <s v="Leather Task Chair, Black"/>
    <n v="145.56800000000001"/>
    <n v="2"/>
    <n v="0"/>
    <x v="2"/>
    <x v="4"/>
  </r>
  <r>
    <s v="US-2017-155425"/>
    <x v="219"/>
    <d v="2017-11-11T00:00:00"/>
    <x v="2"/>
    <s v="AB-10600"/>
    <s v="Ann Blume"/>
    <x v="1"/>
    <s v="United States"/>
    <x v="104"/>
    <x v="22"/>
    <x v="1"/>
    <s v="FUR-CH-10003312"/>
    <s v="Furniture"/>
    <x v="1"/>
    <s v="Hon 2090 ÒPillow SoftÓ Series Mid Back Swivel/Tilt Chairs"/>
    <n v="899.13599999999997"/>
    <n v="4"/>
    <n v="-146.1096"/>
    <x v="5"/>
    <x v="0"/>
  </r>
  <r>
    <s v="CA-2017-133249"/>
    <x v="220"/>
    <d v="2017-07-11T00:00:00"/>
    <x v="2"/>
    <s v="SZ-20035"/>
    <s v="Sam Zeldin"/>
    <x v="2"/>
    <s v="United States"/>
    <x v="105"/>
    <x v="2"/>
    <x v="1"/>
    <s v="FUR-FU-10001588"/>
    <s v="Furniture"/>
    <x v="3"/>
    <s v="Deflect-o SuperTray Unbreakable Stackable Tray, Letter, Black"/>
    <n v="145.9"/>
    <n v="5"/>
    <n v="62.737000000000002"/>
    <x v="0"/>
    <x v="3"/>
  </r>
  <r>
    <s v="US-2015-103471"/>
    <x v="37"/>
    <d v="2015-12-28T00:00:00"/>
    <x v="1"/>
    <s v="JR-15670"/>
    <s v="Jim Radford"/>
    <x v="0"/>
    <s v="United States"/>
    <x v="30"/>
    <x v="12"/>
    <x v="1"/>
    <s v="FUR-BO-10002613"/>
    <s v="Furniture"/>
    <x v="0"/>
    <s v="Atlantic Metals Mobile 4-Shelf Bookcases, Custom Colors"/>
    <n v="590.05799999999999"/>
    <n v="7"/>
    <n v="-786.74400000000003"/>
    <x v="4"/>
    <x v="5"/>
  </r>
  <r>
    <s v="CA-2015-120362"/>
    <x v="221"/>
    <d v="2015-09-19T00:00:00"/>
    <x v="1"/>
    <s v="CA-12265"/>
    <s v="Christina Anderson"/>
    <x v="0"/>
    <s v="United States"/>
    <x v="106"/>
    <x v="4"/>
    <x v="1"/>
    <s v="FUR-TA-10003008"/>
    <s v="Furniture"/>
    <x v="2"/>
    <s v="Lesro Round Back Collection Coffee Table, End Table"/>
    <n v="912.75"/>
    <n v="5"/>
    <n v="118.6575"/>
    <x v="2"/>
    <x v="4"/>
  </r>
  <r>
    <s v="US-2016-100566"/>
    <x v="222"/>
    <d v="2016-09-09T00:00:00"/>
    <x v="1"/>
    <s v="JK-16120"/>
    <s v="Julie Kriz"/>
    <x v="2"/>
    <s v="United States"/>
    <x v="14"/>
    <x v="8"/>
    <x v="3"/>
    <s v="FUR-FU-10003394"/>
    <s v="Furniture"/>
    <x v="3"/>
    <s v="Tenex &quot;The Solids&quot; Textured Chair Mats"/>
    <n v="83.951999999999998"/>
    <n v="3"/>
    <n v="-90.248400000000004"/>
    <x v="6"/>
    <x v="4"/>
  </r>
  <r>
    <s v="US-2016-108504"/>
    <x v="223"/>
    <d v="2016-02-05T00:00:00"/>
    <x v="3"/>
    <s v="PP-18955"/>
    <s v="Paul Prost"/>
    <x v="2"/>
    <s v="United States"/>
    <x v="107"/>
    <x v="24"/>
    <x v="0"/>
    <s v="FUR-FU-10004091"/>
    <s v="Furniture"/>
    <x v="3"/>
    <s v="Eldon 200 Class Desk Accessories, Black"/>
    <n v="18.84"/>
    <n v="3"/>
    <n v="7.1592000000000002"/>
    <x v="7"/>
    <x v="11"/>
  </r>
  <r>
    <s v="US-2016-108504"/>
    <x v="223"/>
    <d v="2016-02-05T00:00:00"/>
    <x v="3"/>
    <s v="PP-18955"/>
    <s v="Paul Prost"/>
    <x v="2"/>
    <s v="United States"/>
    <x v="107"/>
    <x v="24"/>
    <x v="0"/>
    <s v="FUR-BO-10004015"/>
    <s v="Furniture"/>
    <x v="0"/>
    <s v="Bush Andora Bookcase, Maple/Graphite Gray Finish"/>
    <n v="239.98"/>
    <n v="2"/>
    <n v="52.7956"/>
    <x v="7"/>
    <x v="11"/>
  </r>
  <r>
    <s v="US-2017-117247"/>
    <x v="224"/>
    <d v="2017-10-14T00:00:00"/>
    <x v="1"/>
    <s v="CK-12760"/>
    <s v="Cyma Kinney"/>
    <x v="1"/>
    <s v="United States"/>
    <x v="14"/>
    <x v="8"/>
    <x v="3"/>
    <s v="FUR-TA-10002958"/>
    <s v="Furniture"/>
    <x v="2"/>
    <s v="Bevis Oval Conference Table, Walnut"/>
    <n v="652.45000000000005"/>
    <n v="5"/>
    <n v="-430.61700000000002"/>
    <x v="2"/>
    <x v="1"/>
  </r>
  <r>
    <s v="US-2017-117247"/>
    <x v="224"/>
    <d v="2017-10-14T00:00:00"/>
    <x v="1"/>
    <s v="CK-12760"/>
    <s v="Cyma Kinney"/>
    <x v="1"/>
    <s v="United States"/>
    <x v="14"/>
    <x v="8"/>
    <x v="3"/>
    <s v="FUR-TA-10001676"/>
    <s v="Furniture"/>
    <x v="2"/>
    <s v="Hon 61000 Series Interactive Training Tables"/>
    <n v="66.644999999999996"/>
    <n v="3"/>
    <n v="-42.652799999999999"/>
    <x v="2"/>
    <x v="1"/>
  </r>
  <r>
    <s v="US-2016-161396"/>
    <x v="225"/>
    <d v="2016-04-25T00:00:00"/>
    <x v="1"/>
    <s v="GM-14455"/>
    <s v="Gary Mitchum"/>
    <x v="2"/>
    <s v="United States"/>
    <x v="29"/>
    <x v="15"/>
    <x v="2"/>
    <s v="FUR-TA-10002622"/>
    <s v="Furniture"/>
    <x v="2"/>
    <s v="Bush Andora Conference Table, Maple/Graphite Gray Finish"/>
    <n v="205.17599999999999"/>
    <n v="2"/>
    <n v="-58.133200000000002"/>
    <x v="6"/>
    <x v="6"/>
  </r>
  <r>
    <s v="US-2014-118486"/>
    <x v="226"/>
    <d v="2014-04-08T00:00:00"/>
    <x v="2"/>
    <s v="SD-20485"/>
    <s v="Shirley Daniels"/>
    <x v="2"/>
    <s v="United States"/>
    <x v="3"/>
    <x v="3"/>
    <x v="2"/>
    <s v="FUR-TA-10001039"/>
    <s v="Furniture"/>
    <x v="2"/>
    <s v="KI Adjustable-Height Table"/>
    <n v="154.76400000000001"/>
    <n v="3"/>
    <n v="-36.111600000000003"/>
    <x v="3"/>
    <x v="6"/>
  </r>
  <r>
    <s v="CA-2016-130407"/>
    <x v="227"/>
    <d v="2016-09-06T00:00:00"/>
    <x v="1"/>
    <s v="KD-16270"/>
    <s v="Karen Daniels"/>
    <x v="0"/>
    <s v="United States"/>
    <x v="13"/>
    <x v="7"/>
    <x v="2"/>
    <s v="FUR-FU-10001967"/>
    <s v="Furniture"/>
    <x v="3"/>
    <s v="Telescoping Adjustable Floor Lamp"/>
    <n v="39.979999999999997"/>
    <n v="2"/>
    <n v="9.9949999999999992"/>
    <x v="4"/>
    <x v="4"/>
  </r>
  <r>
    <s v="US-2016-122245"/>
    <x v="228"/>
    <d v="2016-09-30T00:00:00"/>
    <x v="1"/>
    <s v="AB-10105"/>
    <s v="Adrian Barton"/>
    <x v="0"/>
    <s v="United States"/>
    <x v="43"/>
    <x v="22"/>
    <x v="1"/>
    <s v="FUR-TA-10002356"/>
    <s v="Furniture"/>
    <x v="2"/>
    <s v="Bevis Boat-Shaped Conference Table"/>
    <n v="393.16500000000002"/>
    <n v="3"/>
    <n v="-204.44579999999999"/>
    <x v="2"/>
    <x v="4"/>
  </r>
  <r>
    <s v="CA-2016-136329"/>
    <x v="229"/>
    <d v="2016-07-13T00:00:00"/>
    <x v="1"/>
    <s v="JD-15895"/>
    <s v="Jonathan Doherty"/>
    <x v="1"/>
    <s v="United States"/>
    <x v="13"/>
    <x v="7"/>
    <x v="2"/>
    <s v="FUR-CH-10002335"/>
    <s v="Furniture"/>
    <x v="1"/>
    <s v="Hon GuestStacker Chair"/>
    <n v="408.00599999999997"/>
    <n v="2"/>
    <n v="72.534400000000005"/>
    <x v="4"/>
    <x v="3"/>
  </r>
  <r>
    <s v="CA-2016-136329"/>
    <x v="229"/>
    <d v="2016-07-13T00:00:00"/>
    <x v="1"/>
    <s v="JD-15895"/>
    <s v="Jonathan Doherty"/>
    <x v="1"/>
    <s v="United States"/>
    <x v="13"/>
    <x v="7"/>
    <x v="2"/>
    <s v="FUR-FU-10000723"/>
    <s v="Furniture"/>
    <x v="3"/>
    <s v="Deflect-o EconoMat Studded, No Bevel Mat for Low Pile Carpeting"/>
    <n v="165.28"/>
    <n v="4"/>
    <n v="14.8752"/>
    <x v="4"/>
    <x v="3"/>
  </r>
  <r>
    <s v="CA-2017-115994"/>
    <x v="230"/>
    <d v="2017-01-31T00:00:00"/>
    <x v="0"/>
    <s v="BT-11305"/>
    <s v="Beth Thompson"/>
    <x v="2"/>
    <s v="United States"/>
    <x v="46"/>
    <x v="2"/>
    <x v="1"/>
    <s v="FUR-FU-10003976"/>
    <s v="Furniture"/>
    <x v="3"/>
    <s v="DAX Executive Solid Wood Document Frame, Desktop or Hang, Mahogany, 5 x 7"/>
    <n v="37.74"/>
    <n v="3"/>
    <n v="12.8316"/>
    <x v="0"/>
    <x v="8"/>
  </r>
  <r>
    <s v="CA-2015-126697"/>
    <x v="231"/>
    <d v="2015-09-24T00:00:00"/>
    <x v="2"/>
    <s v="SV-20815"/>
    <s v="Stuart Van"/>
    <x v="1"/>
    <s v="United States"/>
    <x v="6"/>
    <x v="5"/>
    <x v="3"/>
    <s v="FUR-FU-10001706"/>
    <s v="Furniture"/>
    <x v="3"/>
    <s v="Longer-Life Soft White Bulbs"/>
    <n v="4.9279999999999999"/>
    <n v="4"/>
    <n v="-1.4783999999999999"/>
    <x v="0"/>
    <x v="4"/>
  </r>
  <r>
    <s v="CA-2014-120768"/>
    <x v="232"/>
    <d v="2014-12-21T00:00:00"/>
    <x v="0"/>
    <s v="IM-15070"/>
    <s v="Irene Maddox"/>
    <x v="0"/>
    <s v="United States"/>
    <x v="73"/>
    <x v="33"/>
    <x v="0"/>
    <s v="FUR-CH-10000513"/>
    <s v="Furniture"/>
    <x v="1"/>
    <s v="High-Back Leather Manager's Chair"/>
    <n v="1819.86"/>
    <n v="14"/>
    <n v="163.78739999999999"/>
    <x v="3"/>
    <x v="5"/>
  </r>
  <r>
    <s v="CA-2015-139731"/>
    <x v="233"/>
    <d v="2015-10-15T00:00:00"/>
    <x v="3"/>
    <s v="JE-15745"/>
    <s v="Joel Eaton"/>
    <x v="0"/>
    <s v="United States"/>
    <x v="45"/>
    <x v="5"/>
    <x v="3"/>
    <s v="FUR-CH-10002024"/>
    <s v="Furniture"/>
    <x v="1"/>
    <s v="HON 5400 Series Task Chairs for Big and Tall"/>
    <n v="2453.4299999999998"/>
    <n v="5"/>
    <n v="-350.49"/>
    <x v="7"/>
    <x v="1"/>
  </r>
  <r>
    <s v="CA-2017-102337"/>
    <x v="234"/>
    <d v="2017-06-16T00:00:00"/>
    <x v="2"/>
    <s v="SD-20485"/>
    <s v="Shirley Daniels"/>
    <x v="2"/>
    <s v="United States"/>
    <x v="9"/>
    <x v="8"/>
    <x v="3"/>
    <s v="FUR-CH-10004289"/>
    <s v="Furniture"/>
    <x v="1"/>
    <s v="Global Super Steno Chair"/>
    <n v="470.30200000000002"/>
    <n v="7"/>
    <n v="-87.341800000000006"/>
    <x v="0"/>
    <x v="2"/>
  </r>
  <r>
    <s v="CA-2017-148474"/>
    <x v="235"/>
    <d v="2017-06-19T00:00:00"/>
    <x v="1"/>
    <s v="ME-17320"/>
    <s v="Maria Etezadi"/>
    <x v="2"/>
    <s v="United States"/>
    <x v="29"/>
    <x v="24"/>
    <x v="0"/>
    <s v="FUR-TA-10002530"/>
    <s v="Furniture"/>
    <x v="2"/>
    <s v="Iceberg OfficeWorks 42&quot; Round Tables"/>
    <n v="452.94"/>
    <n v="3"/>
    <n v="67.941000000000003"/>
    <x v="1"/>
    <x v="2"/>
  </r>
  <r>
    <s v="CA-2014-155271"/>
    <x v="236"/>
    <d v="2014-05-04T00:00:00"/>
    <x v="3"/>
    <s v="AA-10480"/>
    <s v="Andrew Allen"/>
    <x v="0"/>
    <s v="United States"/>
    <x v="108"/>
    <x v="19"/>
    <x v="2"/>
    <s v="FUR-FU-10001473"/>
    <s v="Furniture"/>
    <x v="3"/>
    <s v="DAX Wood Document Frame"/>
    <n v="27.46"/>
    <n v="2"/>
    <n v="9.8856000000000002"/>
    <x v="7"/>
    <x v="7"/>
  </r>
  <r>
    <s v="US-2016-128902"/>
    <x v="237"/>
    <d v="2016-03-15T00:00:00"/>
    <x v="1"/>
    <s v="MB-18085"/>
    <s v="Mick Brown"/>
    <x v="0"/>
    <s v="United States"/>
    <x v="109"/>
    <x v="18"/>
    <x v="2"/>
    <s v="FUR-TA-10001095"/>
    <s v="Furniture"/>
    <x v="2"/>
    <s v="Chromcraft Round Conference Tables"/>
    <n v="244.006"/>
    <n v="2"/>
    <n v="-31.372199999999999"/>
    <x v="4"/>
    <x v="9"/>
  </r>
  <r>
    <s v="CA-2016-152289"/>
    <x v="238"/>
    <d v="2016-08-28T00:00:00"/>
    <x v="2"/>
    <s v="LC-16930"/>
    <s v="Linda Cazamias"/>
    <x v="1"/>
    <s v="United States"/>
    <x v="102"/>
    <x v="5"/>
    <x v="3"/>
    <s v="FUR-CH-10002126"/>
    <s v="Furniture"/>
    <x v="1"/>
    <s v="Hon Deluxe Fabric Upholstered Stacking Chairs"/>
    <n v="1024.7159999999999"/>
    <n v="6"/>
    <n v="-29.2776"/>
    <x v="3"/>
    <x v="10"/>
  </r>
  <r>
    <s v="CA-2014-151708"/>
    <x v="98"/>
    <d v="2014-08-14T00:00:00"/>
    <x v="1"/>
    <s v="MB-17305"/>
    <s v="Maria Bertelson"/>
    <x v="0"/>
    <s v="United States"/>
    <x v="110"/>
    <x v="22"/>
    <x v="1"/>
    <s v="FUR-FU-10001602"/>
    <s v="Furniture"/>
    <x v="3"/>
    <s v="Eldon Delta Triangular Chair Mat, 52&quot; x 58&quot;, Clear"/>
    <n v="121.376"/>
    <n v="4"/>
    <n v="-3.0344000000000002"/>
    <x v="6"/>
    <x v="10"/>
  </r>
  <r>
    <s v="CA-2017-139199"/>
    <x v="13"/>
    <d v="2017-12-13T00:00:00"/>
    <x v="1"/>
    <s v="DK-12835"/>
    <s v="Damala Kotsonis"/>
    <x v="1"/>
    <s v="United States"/>
    <x v="25"/>
    <x v="17"/>
    <x v="3"/>
    <s v="FUR-CH-10000847"/>
    <s v="Furniture"/>
    <x v="1"/>
    <s v="Global Executive Mid-Back Manager's Chair"/>
    <n v="872.94"/>
    <n v="3"/>
    <n v="226.96440000000001"/>
    <x v="4"/>
    <x v="5"/>
  </r>
  <r>
    <s v="US-2015-105676"/>
    <x v="239"/>
    <d v="2015-12-02T00:00:00"/>
    <x v="3"/>
    <s v="NM-18520"/>
    <s v="Neoma Murray"/>
    <x v="0"/>
    <s v="United States"/>
    <x v="6"/>
    <x v="5"/>
    <x v="3"/>
    <s v="FUR-FU-10004270"/>
    <s v="Furniture"/>
    <x v="3"/>
    <s v="Eldon Image Series Desk Accessories, Burgundy"/>
    <n v="6.6879999999999997"/>
    <n v="4"/>
    <n v="-4.0128000000000004"/>
    <x v="5"/>
    <x v="5"/>
  </r>
  <r>
    <s v="CA-2015-140410"/>
    <x v="240"/>
    <d v="2015-11-07T00:00:00"/>
    <x v="1"/>
    <s v="CM-12655"/>
    <s v="Corinna Mitchell"/>
    <x v="2"/>
    <s v="United States"/>
    <x v="2"/>
    <x v="2"/>
    <x v="1"/>
    <s v="FUR-FU-10003347"/>
    <s v="Furniture"/>
    <x v="3"/>
    <s v="Coloredge Poster Frame"/>
    <n v="42.6"/>
    <n v="3"/>
    <n v="16.614000000000001"/>
    <x v="4"/>
    <x v="0"/>
  </r>
  <r>
    <s v="CA-2017-166436"/>
    <x v="241"/>
    <d v="2017-11-28T00:00:00"/>
    <x v="1"/>
    <s v="TS-21370"/>
    <s v="Todd Sumrall"/>
    <x v="1"/>
    <s v="United States"/>
    <x v="13"/>
    <x v="7"/>
    <x v="2"/>
    <s v="FUR-CH-10000785"/>
    <s v="Furniture"/>
    <x v="1"/>
    <s v="Global Ergonomic Managers Chair"/>
    <n v="977.29200000000003"/>
    <n v="6"/>
    <n v="173.74080000000001"/>
    <x v="4"/>
    <x v="0"/>
  </r>
  <r>
    <s v="CA-2017-139661"/>
    <x v="242"/>
    <d v="2017-11-03T00:00:00"/>
    <x v="1"/>
    <s v="JW-15220"/>
    <s v="Jane Waco"/>
    <x v="1"/>
    <s v="United States"/>
    <x v="57"/>
    <x v="13"/>
    <x v="1"/>
    <s v="FUR-FU-10002885"/>
    <s v="Furniture"/>
    <x v="3"/>
    <s v="Magna Visual Magnetic Picture Hangers"/>
    <n v="9.64"/>
    <n v="2"/>
    <n v="3.6631999999999998"/>
    <x v="4"/>
    <x v="1"/>
  </r>
  <r>
    <s v="CA-2016-100468"/>
    <x v="243"/>
    <d v="2016-12-01T00:00:00"/>
    <x v="1"/>
    <s v="AT-10435"/>
    <s v="Alyssa Tate"/>
    <x v="2"/>
    <s v="United States"/>
    <x v="2"/>
    <x v="2"/>
    <x v="1"/>
    <s v="FUR-FU-10000010"/>
    <s v="Furniture"/>
    <x v="3"/>
    <s v="DAX Value U-Channel Document Frames, Easel Back"/>
    <n v="9.94"/>
    <n v="2"/>
    <n v="3.0813999999999999"/>
    <x v="1"/>
    <x v="0"/>
  </r>
  <r>
    <s v="CA-2015-153388"/>
    <x v="244"/>
    <d v="2015-08-07T00:00:00"/>
    <x v="1"/>
    <s v="PC-19000"/>
    <s v="Pauline Chand"/>
    <x v="2"/>
    <s v="United States"/>
    <x v="2"/>
    <x v="2"/>
    <x v="1"/>
    <s v="FUR-TA-10003715"/>
    <s v="Furniture"/>
    <x v="2"/>
    <s v="Hon 2111 Invitation Series Corner Table"/>
    <n v="1004.976"/>
    <n v="6"/>
    <n v="-175.8708"/>
    <x v="6"/>
    <x v="10"/>
  </r>
  <r>
    <s v="CA-2017-103611"/>
    <x v="245"/>
    <d v="2017-09-15T00:00:00"/>
    <x v="2"/>
    <s v="JM-15535"/>
    <s v="Jessica Myrick"/>
    <x v="0"/>
    <s v="United States"/>
    <x v="2"/>
    <x v="2"/>
    <x v="1"/>
    <s v="FUR-FU-10004270"/>
    <s v="Furniture"/>
    <x v="3"/>
    <s v="Eldon Image Series Desk Accessories, Burgundy"/>
    <n v="8.36"/>
    <n v="2"/>
    <n v="3.0095999999999998"/>
    <x v="0"/>
    <x v="4"/>
  </r>
  <r>
    <s v="US-2017-160759"/>
    <x v="246"/>
    <d v="2017-12-17T00:00:00"/>
    <x v="1"/>
    <s v="AI-10855"/>
    <s v="Arianne Irving"/>
    <x v="0"/>
    <s v="United States"/>
    <x v="3"/>
    <x v="3"/>
    <x v="2"/>
    <s v="FUR-CH-10002961"/>
    <s v="Furniture"/>
    <x v="1"/>
    <s v="Leather Task Chair, Black"/>
    <n v="63.686"/>
    <n v="1"/>
    <n v="-9.0980000000000008"/>
    <x v="6"/>
    <x v="5"/>
  </r>
  <r>
    <s v="CA-2017-148446"/>
    <x v="247"/>
    <d v="2017-12-14T00:00:00"/>
    <x v="0"/>
    <s v="MC-17845"/>
    <s v="Michael Chen"/>
    <x v="0"/>
    <s v="United States"/>
    <x v="111"/>
    <x v="34"/>
    <x v="1"/>
    <s v="FUR-TA-10004256"/>
    <s v="Furniture"/>
    <x v="2"/>
    <s v="Bretford ÒJust In TimeÓ Height-Adjustable Multi-Task Work Tables"/>
    <n v="1669.6"/>
    <n v="4"/>
    <n v="116.872"/>
    <x v="4"/>
    <x v="5"/>
  </r>
  <r>
    <s v="CA-2015-144806"/>
    <x v="248"/>
    <d v="2015-12-11T00:00:00"/>
    <x v="1"/>
    <s v="GH-14425"/>
    <s v="Gary Hwang"/>
    <x v="0"/>
    <s v="United States"/>
    <x v="104"/>
    <x v="22"/>
    <x v="1"/>
    <s v="FUR-FU-10002253"/>
    <s v="Furniture"/>
    <x v="3"/>
    <s v="Howard Miller 13&quot; Diameter Pewter Finish Round Wall Clock"/>
    <n v="206.11199999999999"/>
    <n v="6"/>
    <n v="48.951599999999999"/>
    <x v="2"/>
    <x v="5"/>
  </r>
  <r>
    <s v="CA-2016-122392"/>
    <x v="249"/>
    <d v="2016-07-27T00:00:00"/>
    <x v="1"/>
    <s v="CJ-12010"/>
    <s v="Caroline Jumper"/>
    <x v="0"/>
    <s v="United States"/>
    <x v="112"/>
    <x v="3"/>
    <x v="2"/>
    <s v="FUR-FU-10002456"/>
    <s v="Furniture"/>
    <x v="3"/>
    <s v="Master Caster Door Stop, Large Neon Orange"/>
    <n v="11.648"/>
    <n v="2"/>
    <n v="3.3488000000000002"/>
    <x v="2"/>
    <x v="3"/>
  </r>
  <r>
    <s v="CA-2017-124086"/>
    <x v="250"/>
    <d v="2017-02-14T00:00:00"/>
    <x v="1"/>
    <s v="MP-18175"/>
    <s v="Mike Pelletier"/>
    <x v="2"/>
    <s v="United States"/>
    <x v="113"/>
    <x v="2"/>
    <x v="1"/>
    <s v="FUR-BO-10004015"/>
    <s v="Furniture"/>
    <x v="0"/>
    <s v="Bush Andora Bookcase, Maple/Graphite Gray Finish"/>
    <n v="203.983"/>
    <n v="2"/>
    <n v="16.7986"/>
    <x v="4"/>
    <x v="11"/>
  </r>
  <r>
    <s v="CA-2017-121888"/>
    <x v="102"/>
    <d v="2017-09-17T00:00:00"/>
    <x v="0"/>
    <s v="CL-11890"/>
    <s v="Carl Ludwig"/>
    <x v="0"/>
    <s v="United States"/>
    <x v="114"/>
    <x v="20"/>
    <x v="2"/>
    <s v="FUR-BO-10002545"/>
    <s v="Furniture"/>
    <x v="0"/>
    <s v="Atlantic Metals Mobile 3-Shelf Bookcases, Custom Colors"/>
    <n v="782.94"/>
    <n v="3"/>
    <n v="203.56440000000001"/>
    <x v="3"/>
    <x v="4"/>
  </r>
  <r>
    <s v="CA-2014-166884"/>
    <x v="251"/>
    <d v="2014-03-16T00:00:00"/>
    <x v="0"/>
    <s v="CK-12205"/>
    <s v="Chloris Kastensmidt"/>
    <x v="0"/>
    <s v="United States"/>
    <x v="29"/>
    <x v="15"/>
    <x v="2"/>
    <s v="FUR-FU-10003981"/>
    <s v="Furniture"/>
    <x v="3"/>
    <s v="Eldon Wave Desk Accessories"/>
    <n v="8.32"/>
    <n v="5"/>
    <n v="2.2879999999999998"/>
    <x v="2"/>
    <x v="9"/>
  </r>
  <r>
    <s v="CA-2014-150245"/>
    <x v="252"/>
    <d v="2015-01-04T00:00:00"/>
    <x v="0"/>
    <s v="PC-18745"/>
    <s v="Pamela Coakley"/>
    <x v="1"/>
    <s v="United States"/>
    <x v="115"/>
    <x v="7"/>
    <x v="2"/>
    <s v="FUR-BO-10002613"/>
    <s v="Furniture"/>
    <x v="0"/>
    <s v="Atlantic Metals Mobile 4-Shelf Bookcases, Custom Colors"/>
    <n v="1573.4880000000001"/>
    <n v="7"/>
    <n v="196.68600000000001"/>
    <x v="4"/>
    <x v="5"/>
  </r>
  <r>
    <s v="CA-2015-112116"/>
    <x v="253"/>
    <d v="2015-03-18T00:00:00"/>
    <x v="0"/>
    <s v="JE-15475"/>
    <s v="Jeremy Ellison"/>
    <x v="0"/>
    <s v="United States"/>
    <x v="15"/>
    <x v="13"/>
    <x v="1"/>
    <s v="FUR-TA-10001039"/>
    <s v="Furniture"/>
    <x v="2"/>
    <s v="KI Adjustable-Height Table"/>
    <n v="171.96"/>
    <n v="2"/>
    <n v="44.709600000000002"/>
    <x v="3"/>
    <x v="9"/>
  </r>
  <r>
    <s v="US-2017-102890"/>
    <x v="254"/>
    <d v="2017-06-30T00:00:00"/>
    <x v="3"/>
    <s v="SG-20470"/>
    <s v="Sheri Gordon"/>
    <x v="0"/>
    <s v="United States"/>
    <x v="13"/>
    <x v="7"/>
    <x v="2"/>
    <s v="FUR-TA-10000577"/>
    <s v="Furniture"/>
    <x v="2"/>
    <s v="Bretford CR4500 Series Slim Rectangular Table"/>
    <n v="1044.6300000000001"/>
    <n v="5"/>
    <n v="-295.9785"/>
    <x v="7"/>
    <x v="2"/>
  </r>
  <r>
    <s v="US-2014-157385"/>
    <x v="255"/>
    <d v="2014-11-25T00:00:00"/>
    <x v="2"/>
    <s v="SC-20095"/>
    <s v="Sanjit Chand"/>
    <x v="0"/>
    <s v="United States"/>
    <x v="2"/>
    <x v="2"/>
    <x v="1"/>
    <s v="FUR-CH-10000863"/>
    <s v="Furniture"/>
    <x v="1"/>
    <s v="Novimex Swivel Fabric Task Chair"/>
    <n v="603.91999999999996"/>
    <n v="5"/>
    <n v="-67.941000000000003"/>
    <x v="3"/>
    <x v="0"/>
  </r>
  <r>
    <s v="US-2014-157385"/>
    <x v="255"/>
    <d v="2014-11-25T00:00:00"/>
    <x v="2"/>
    <s v="SC-20095"/>
    <s v="Sanjit Chand"/>
    <x v="0"/>
    <s v="United States"/>
    <x v="2"/>
    <x v="2"/>
    <x v="1"/>
    <s v="FUR-CH-10000595"/>
    <s v="Furniture"/>
    <x v="1"/>
    <s v="Safco Contoured Stacking Chairs"/>
    <n v="381.44"/>
    <n v="2"/>
    <n v="23.84"/>
    <x v="3"/>
    <x v="0"/>
  </r>
  <r>
    <s v="CA-2014-101602"/>
    <x v="256"/>
    <d v="2014-12-18T00:00:00"/>
    <x v="2"/>
    <s v="MC-18100"/>
    <s v="Mick Crebagga"/>
    <x v="0"/>
    <s v="United States"/>
    <x v="116"/>
    <x v="5"/>
    <x v="3"/>
    <s v="FUR-CH-10004675"/>
    <s v="Furniture"/>
    <x v="1"/>
    <s v="Lifetime Advantage Folding Chairs, 4/Carton"/>
    <n v="763.28"/>
    <n v="5"/>
    <n v="-21.808"/>
    <x v="0"/>
    <x v="5"/>
  </r>
  <r>
    <s v="CA-2015-131338"/>
    <x v="38"/>
    <d v="2015-08-12T00:00:00"/>
    <x v="2"/>
    <s v="NP-18325"/>
    <s v="Naresj Patel"/>
    <x v="0"/>
    <s v="United States"/>
    <x v="13"/>
    <x v="7"/>
    <x v="2"/>
    <s v="FUR-TA-10002607"/>
    <s v="Furniture"/>
    <x v="2"/>
    <s v="KI Conference Tables"/>
    <n v="382.80599999999998"/>
    <n v="9"/>
    <n v="-153.1224"/>
    <x v="0"/>
    <x v="10"/>
  </r>
  <r>
    <s v="CA-2015-131338"/>
    <x v="38"/>
    <d v="2015-08-12T00:00:00"/>
    <x v="2"/>
    <s v="NP-18325"/>
    <s v="Naresj Patel"/>
    <x v="0"/>
    <s v="United States"/>
    <x v="13"/>
    <x v="7"/>
    <x v="2"/>
    <s v="FUR-FU-10002157"/>
    <s v="Furniture"/>
    <x v="3"/>
    <s v="Artistic Insta-Plaque"/>
    <n v="47.04"/>
    <n v="3"/>
    <n v="18.345600000000001"/>
    <x v="0"/>
    <x v="10"/>
  </r>
  <r>
    <s v="CA-2015-131338"/>
    <x v="38"/>
    <d v="2015-08-12T00:00:00"/>
    <x v="2"/>
    <s v="NP-18325"/>
    <s v="Naresj Patel"/>
    <x v="0"/>
    <s v="United States"/>
    <x v="13"/>
    <x v="7"/>
    <x v="2"/>
    <s v="FUR-FU-10001706"/>
    <s v="Furniture"/>
    <x v="3"/>
    <s v="Longer-Life Soft White Bulbs"/>
    <n v="6.16"/>
    <n v="2"/>
    <n v="2.9567999999999999"/>
    <x v="0"/>
    <x v="10"/>
  </r>
  <r>
    <s v="CA-2015-118423"/>
    <x v="257"/>
    <d v="2015-03-27T00:00:00"/>
    <x v="2"/>
    <s v="DP-13390"/>
    <s v="Dennis Pardue"/>
    <x v="2"/>
    <s v="United States"/>
    <x v="117"/>
    <x v="8"/>
    <x v="3"/>
    <s v="FUR-BO-10000362"/>
    <s v="Furniture"/>
    <x v="0"/>
    <s v="Sauder Inglewood Library Bookcases"/>
    <n v="359.05799999999999"/>
    <n v="3"/>
    <n v="-35.905799999999999"/>
    <x v="0"/>
    <x v="9"/>
  </r>
  <r>
    <s v="CA-2017-149181"/>
    <x v="258"/>
    <d v="2017-05-12T00:00:00"/>
    <x v="1"/>
    <s v="MD-17350"/>
    <s v="Maribeth Dona"/>
    <x v="0"/>
    <s v="United States"/>
    <x v="29"/>
    <x v="15"/>
    <x v="2"/>
    <s v="FUR-CH-10004540"/>
    <s v="Furniture"/>
    <x v="1"/>
    <s v="Global Chrome Stack Chair"/>
    <n v="47.991999999999997"/>
    <n v="2"/>
    <n v="-2.0568"/>
    <x v="4"/>
    <x v="7"/>
  </r>
  <r>
    <s v="CA-2017-132234"/>
    <x v="259"/>
    <d v="2017-10-18T00:00:00"/>
    <x v="2"/>
    <s v="MY-17380"/>
    <s v="Maribeth Yedwab"/>
    <x v="1"/>
    <s v="United States"/>
    <x v="13"/>
    <x v="7"/>
    <x v="2"/>
    <s v="FUR-FU-10001290"/>
    <s v="Furniture"/>
    <x v="3"/>
    <s v="Executive Impressions Supervisor Wall Clock"/>
    <n v="547.29999999999995"/>
    <n v="13"/>
    <n v="175.136"/>
    <x v="3"/>
    <x v="1"/>
  </r>
  <r>
    <s v="CA-2017-158876"/>
    <x v="49"/>
    <d v="2017-11-21T00:00:00"/>
    <x v="0"/>
    <s v="AB-10150"/>
    <s v="Aimee Bixby"/>
    <x v="0"/>
    <s v="United States"/>
    <x v="118"/>
    <x v="5"/>
    <x v="3"/>
    <s v="FUR-FU-10001967"/>
    <s v="Furniture"/>
    <x v="3"/>
    <s v="Telescoping Adjustable Floor Lamp"/>
    <n v="15.992000000000001"/>
    <n v="2"/>
    <n v="-13.993"/>
    <x v="3"/>
    <x v="0"/>
  </r>
  <r>
    <s v="CA-2016-164672"/>
    <x v="260"/>
    <d v="2016-05-13T00:00:00"/>
    <x v="0"/>
    <s v="GB-14530"/>
    <s v="George Bell"/>
    <x v="1"/>
    <s v="United States"/>
    <x v="63"/>
    <x v="14"/>
    <x v="2"/>
    <s v="FUR-FU-10001488"/>
    <s v="Furniture"/>
    <x v="3"/>
    <s v="Tenex 46&quot; x 60&quot; Computer Anti-Static Chairmat, Rectangular Shaped"/>
    <n v="211.96"/>
    <n v="2"/>
    <n v="42.392000000000003"/>
    <x v="2"/>
    <x v="7"/>
  </r>
  <r>
    <s v="CA-2014-156349"/>
    <x v="261"/>
    <d v="2014-05-30T00:00:00"/>
    <x v="1"/>
    <s v="ML-17395"/>
    <s v="Marina Lichtenstein"/>
    <x v="1"/>
    <s v="United States"/>
    <x v="2"/>
    <x v="2"/>
    <x v="1"/>
    <s v="FUR-BO-10000362"/>
    <s v="Furniture"/>
    <x v="0"/>
    <s v="Sauder Inglewood Library Bookcases"/>
    <n v="290.666"/>
    <n v="2"/>
    <n v="27.3568"/>
    <x v="4"/>
    <x v="7"/>
  </r>
  <r>
    <s v="CA-2017-108560"/>
    <x v="220"/>
    <d v="2017-07-15T00:00:00"/>
    <x v="1"/>
    <s v="JC-15385"/>
    <s v="Jenna Caffey"/>
    <x v="0"/>
    <s v="United States"/>
    <x v="119"/>
    <x v="13"/>
    <x v="1"/>
    <s v="FUR-FU-10002937"/>
    <s v="Furniture"/>
    <x v="3"/>
    <s v="GE 48&quot; Fluorescent Tube, Cool White Energy Saver, 34 Watts, 30/Box"/>
    <n v="198.46"/>
    <n v="2"/>
    <n v="99.23"/>
    <x v="1"/>
    <x v="3"/>
  </r>
  <r>
    <s v="CA-2015-143119"/>
    <x v="262"/>
    <d v="2015-09-30T00:00:00"/>
    <x v="1"/>
    <s v="MC-17275"/>
    <s v="Marc Crier"/>
    <x v="0"/>
    <s v="United States"/>
    <x v="120"/>
    <x v="35"/>
    <x v="0"/>
    <s v="FUR-CH-10001270"/>
    <s v="Furniture"/>
    <x v="1"/>
    <s v="Harbour Creations Steel Folding Chair"/>
    <n v="517.5"/>
    <n v="6"/>
    <n v="155.25"/>
    <x v="6"/>
    <x v="4"/>
  </r>
  <r>
    <s v="CA-2017-101049"/>
    <x v="263"/>
    <d v="2017-06-25T00:00:00"/>
    <x v="0"/>
    <s v="AS-10240"/>
    <s v="Alan Shonely"/>
    <x v="0"/>
    <s v="United States"/>
    <x v="59"/>
    <x v="15"/>
    <x v="2"/>
    <s v="FUR-FU-10004415"/>
    <s v="Furniture"/>
    <x v="3"/>
    <s v="Stacking Tray, Side-Loading, Legal, Smoke"/>
    <n v="17.920000000000002"/>
    <n v="5"/>
    <n v="2.464"/>
    <x v="4"/>
    <x v="2"/>
  </r>
  <r>
    <s v="CA-2016-157266"/>
    <x v="205"/>
    <d v="2016-06-01T00:00:00"/>
    <x v="1"/>
    <s v="TB-21280"/>
    <s v="Toby Braunhardt"/>
    <x v="0"/>
    <s v="United States"/>
    <x v="85"/>
    <x v="29"/>
    <x v="2"/>
    <s v="FUR-FU-10000629"/>
    <s v="Furniture"/>
    <x v="3"/>
    <s v="9-3/4 Diameter Round Wall Clock"/>
    <n v="41.37"/>
    <n v="3"/>
    <n v="17.375399999999999"/>
    <x v="6"/>
    <x v="7"/>
  </r>
  <r>
    <s v="CA-2014-127159"/>
    <x v="264"/>
    <d v="2014-05-15T00:00:00"/>
    <x v="2"/>
    <s v="HL-15040"/>
    <s v="Hunter Lopez"/>
    <x v="0"/>
    <s v="United States"/>
    <x v="79"/>
    <x v="16"/>
    <x v="3"/>
    <s v="FUR-FU-10000010"/>
    <s v="Furniture"/>
    <x v="3"/>
    <s v="DAX Value U-Channel Document Frames, Easel Back"/>
    <n v="34.79"/>
    <n v="7"/>
    <n v="10.7849"/>
    <x v="0"/>
    <x v="7"/>
  </r>
  <r>
    <s v="US-2015-157154"/>
    <x v="265"/>
    <d v="2015-01-15T00:00:00"/>
    <x v="1"/>
    <s v="MM-17920"/>
    <s v="Michael Moore"/>
    <x v="0"/>
    <s v="United States"/>
    <x v="13"/>
    <x v="7"/>
    <x v="2"/>
    <s v="FUR-TA-10001889"/>
    <s v="Furniture"/>
    <x v="2"/>
    <s v="Bush Advantage Collection Racetrack Conference Table"/>
    <n v="1018.104"/>
    <n v="4"/>
    <n v="-373.3048"/>
    <x v="2"/>
    <x v="8"/>
  </r>
  <r>
    <s v="CA-2015-143077"/>
    <x v="5"/>
    <d v="2015-09-21T00:00:00"/>
    <x v="1"/>
    <s v="SF-20965"/>
    <s v="Sylvia Foulston"/>
    <x v="1"/>
    <s v="United States"/>
    <x v="6"/>
    <x v="5"/>
    <x v="3"/>
    <s v="FUR-FU-10003535"/>
    <s v="Furniture"/>
    <x v="3"/>
    <s v="Howard Miller Distant Time Traveler Alarm Clock"/>
    <n v="21.936"/>
    <n v="2"/>
    <n v="-10.419600000000001"/>
    <x v="4"/>
    <x v="4"/>
  </r>
  <r>
    <s v="CA-2014-122882"/>
    <x v="266"/>
    <d v="2014-09-13T00:00:00"/>
    <x v="1"/>
    <s v="SB-20290"/>
    <s v="Sean Braxton"/>
    <x v="1"/>
    <s v="United States"/>
    <x v="3"/>
    <x v="3"/>
    <x v="2"/>
    <s v="FUR-FU-10000758"/>
    <s v="Furniture"/>
    <x v="3"/>
    <s v="DAX Natural Wood-Tone Poster Frame"/>
    <n v="42.368000000000002"/>
    <n v="2"/>
    <n v="8.4735999999999994"/>
    <x v="6"/>
    <x v="4"/>
  </r>
  <r>
    <s v="CA-2016-147585"/>
    <x v="267"/>
    <d v="2016-11-12T00:00:00"/>
    <x v="1"/>
    <s v="CB-12535"/>
    <s v="Claudia Bergmann"/>
    <x v="1"/>
    <s v="United States"/>
    <x v="28"/>
    <x v="2"/>
    <x v="1"/>
    <s v="FUR-FU-10002597"/>
    <s v="Furniture"/>
    <x v="3"/>
    <s v="C-Line Magnetic Cubicle Keepers, Clear Polypropylene"/>
    <n v="14.82"/>
    <n v="3"/>
    <n v="6.2244000000000002"/>
    <x v="2"/>
    <x v="0"/>
  </r>
  <r>
    <s v="CA-2017-143798"/>
    <x v="247"/>
    <d v="2017-12-12T00:00:00"/>
    <x v="2"/>
    <s v="AW-10840"/>
    <s v="Anthony Witt"/>
    <x v="0"/>
    <s v="United States"/>
    <x v="3"/>
    <x v="3"/>
    <x v="2"/>
    <s v="FUR-FU-10004306"/>
    <s v="Furniture"/>
    <x v="3"/>
    <s v="Electrix Halogen Magnifier Lamp"/>
    <n v="310.88"/>
    <n v="2"/>
    <n v="23.315999999999999"/>
    <x v="3"/>
    <x v="5"/>
  </r>
  <r>
    <s v="CA-2014-142839"/>
    <x v="268"/>
    <d v="2014-08-20T00:00:00"/>
    <x v="1"/>
    <s v="TS-21610"/>
    <s v="Troy Staebel"/>
    <x v="0"/>
    <s v="United States"/>
    <x v="3"/>
    <x v="3"/>
    <x v="2"/>
    <s v="FUR-TA-10001539"/>
    <s v="Furniture"/>
    <x v="2"/>
    <s v="Chromcraft Rectangular Conference Tables"/>
    <n v="853.09199999999998"/>
    <n v="6"/>
    <n v="-227.49119999999999"/>
    <x v="4"/>
    <x v="10"/>
  </r>
  <r>
    <s v="US-2016-154361"/>
    <x v="269"/>
    <d v="2016-03-19T00:00:00"/>
    <x v="1"/>
    <s v="HZ-14950"/>
    <s v="Henia Zydlo"/>
    <x v="0"/>
    <s v="United States"/>
    <x v="29"/>
    <x v="15"/>
    <x v="2"/>
    <s v="FUR-FU-10004020"/>
    <s v="Furniture"/>
    <x v="3"/>
    <s v="Advantus Panel Wall Acrylic Frame"/>
    <n v="21.88"/>
    <n v="5"/>
    <n v="6.2904999999999998"/>
    <x v="2"/>
    <x v="9"/>
  </r>
  <r>
    <s v="CA-2014-135657"/>
    <x v="270"/>
    <d v="2014-06-07T00:00:00"/>
    <x v="0"/>
    <s v="SC-20725"/>
    <s v="Steven Cartwright"/>
    <x v="0"/>
    <s v="United States"/>
    <x v="15"/>
    <x v="13"/>
    <x v="1"/>
    <s v="FUR-TA-10004086"/>
    <s v="Furniture"/>
    <x v="2"/>
    <s v="KI Adjustable-Height Table"/>
    <n v="515.88"/>
    <n v="6"/>
    <n v="113.4936"/>
    <x v="4"/>
    <x v="2"/>
  </r>
  <r>
    <s v="CA-2015-114069"/>
    <x v="271"/>
    <d v="2015-07-15T00:00:00"/>
    <x v="0"/>
    <s v="ND-18370"/>
    <s v="Natalie DeCherney"/>
    <x v="0"/>
    <s v="United States"/>
    <x v="13"/>
    <x v="7"/>
    <x v="2"/>
    <s v="FUR-CH-10000595"/>
    <s v="Furniture"/>
    <x v="1"/>
    <s v="Safco Contoured Stacking Chairs"/>
    <n v="1931.04"/>
    <n v="9"/>
    <n v="321.83999999999997"/>
    <x v="3"/>
    <x v="3"/>
  </r>
  <r>
    <s v="CA-2017-123491"/>
    <x v="242"/>
    <d v="2017-11-05T00:00:00"/>
    <x v="1"/>
    <s v="JK-15205"/>
    <s v="Jamie Kunitz"/>
    <x v="0"/>
    <s v="United States"/>
    <x v="28"/>
    <x v="2"/>
    <x v="1"/>
    <s v="FUR-CH-10003061"/>
    <s v="Furniture"/>
    <x v="1"/>
    <s v="Global Leather Task Chair, Black"/>
    <n v="71.992000000000004"/>
    <n v="1"/>
    <n v="-0.89990000000000003"/>
    <x v="6"/>
    <x v="1"/>
  </r>
  <r>
    <s v="US-2017-124968"/>
    <x v="272"/>
    <d v="2017-09-13T00:00:00"/>
    <x v="0"/>
    <s v="MM-18055"/>
    <s v="Michelle Moray"/>
    <x v="0"/>
    <s v="United States"/>
    <x v="9"/>
    <x v="8"/>
    <x v="3"/>
    <s v="FUR-TA-10004289"/>
    <s v="Furniture"/>
    <x v="2"/>
    <s v="BoxOffice By Design Rectangular and Half-Moon Meeting Room Tables"/>
    <n v="765.625"/>
    <n v="7"/>
    <n v="-566.5625"/>
    <x v="2"/>
    <x v="4"/>
  </r>
  <r>
    <s v="CA-2017-104003"/>
    <x v="273"/>
    <d v="2017-10-13T00:00:00"/>
    <x v="1"/>
    <s v="DC-13285"/>
    <s v="Debra Catini"/>
    <x v="0"/>
    <s v="United States"/>
    <x v="28"/>
    <x v="2"/>
    <x v="1"/>
    <s v="FUR-BO-10003965"/>
    <s v="Furniture"/>
    <x v="0"/>
    <s v="O'Sullivan Manor Hill 2-Door Library in Brianna Oak"/>
    <n v="307.666"/>
    <n v="2"/>
    <n v="-14.478400000000001"/>
    <x v="6"/>
    <x v="1"/>
  </r>
  <r>
    <s v="CA-2016-169943"/>
    <x v="128"/>
    <d v="2016-05-24T00:00:00"/>
    <x v="1"/>
    <s v="BN-11515"/>
    <s v="Bradley Nguyen"/>
    <x v="0"/>
    <s v="United States"/>
    <x v="13"/>
    <x v="7"/>
    <x v="2"/>
    <s v="FUR-FU-10002088"/>
    <s v="Furniture"/>
    <x v="3"/>
    <s v="Nu-Dell Float Frame 11 x 14 1/2"/>
    <n v="35.92"/>
    <n v="4"/>
    <n v="15.086399999999999"/>
    <x v="2"/>
    <x v="7"/>
  </r>
  <r>
    <s v="CA-2016-169943"/>
    <x v="128"/>
    <d v="2016-05-24T00:00:00"/>
    <x v="1"/>
    <s v="BN-11515"/>
    <s v="Bradley Nguyen"/>
    <x v="0"/>
    <s v="United States"/>
    <x v="13"/>
    <x v="7"/>
    <x v="2"/>
    <s v="FUR-FU-10000010"/>
    <s v="Furniture"/>
    <x v="3"/>
    <s v="DAX Value U-Channel Document Frames, Easel Back"/>
    <n v="39.76"/>
    <n v="8"/>
    <n v="12.3256"/>
    <x v="2"/>
    <x v="7"/>
  </r>
  <r>
    <s v="US-2015-123218"/>
    <x v="274"/>
    <d v="2015-12-25T00:00:00"/>
    <x v="1"/>
    <s v="KD-16345"/>
    <s v="Katherine Ducich"/>
    <x v="0"/>
    <s v="United States"/>
    <x v="9"/>
    <x v="8"/>
    <x v="3"/>
    <s v="FUR-BO-10003966"/>
    <s v="Furniture"/>
    <x v="0"/>
    <s v="Sauder Facets Collection Library, Sky Alder Finish"/>
    <n v="359.05799999999999"/>
    <n v="3"/>
    <n v="-71.811599999999999"/>
    <x v="2"/>
    <x v="5"/>
  </r>
  <r>
    <s v="US-2017-164056"/>
    <x v="275"/>
    <d v="2017-05-04T00:00:00"/>
    <x v="0"/>
    <s v="FM-14215"/>
    <s v="Filia McAdams"/>
    <x v="1"/>
    <s v="United States"/>
    <x v="24"/>
    <x v="15"/>
    <x v="2"/>
    <s v="FUR-TA-10001307"/>
    <s v="Furniture"/>
    <x v="2"/>
    <s v="SAFCO PlanMaster Heigh-Adjustable Drafting Table Base, 43w x 30d x 30-37h, Black"/>
    <n v="1048.3499999999999"/>
    <n v="5"/>
    <n v="-69.89"/>
    <x v="2"/>
    <x v="6"/>
  </r>
  <r>
    <s v="CA-2017-152807"/>
    <x v="242"/>
    <d v="2017-11-03T00:00:00"/>
    <x v="1"/>
    <s v="MC-18100"/>
    <s v="Mick Crebagga"/>
    <x v="0"/>
    <s v="United States"/>
    <x v="3"/>
    <x v="3"/>
    <x v="2"/>
    <s v="FUR-FU-10004415"/>
    <s v="Furniture"/>
    <x v="3"/>
    <s v="Stacking Tray, Side-Loading, Legal, Smoke"/>
    <n v="7.1680000000000001"/>
    <n v="2"/>
    <n v="0.98560000000000003"/>
    <x v="4"/>
    <x v="1"/>
  </r>
  <r>
    <s v="CA-2015-139094"/>
    <x v="276"/>
    <d v="2015-11-27T00:00:00"/>
    <x v="1"/>
    <s v="MO-17800"/>
    <s v="Meg O'Connel"/>
    <x v="2"/>
    <s v="United States"/>
    <x v="21"/>
    <x v="5"/>
    <x v="3"/>
    <s v="FUR-TA-10004607"/>
    <s v="Furniture"/>
    <x v="2"/>
    <s v="Hon 2111 Invitation Series Straight Table"/>
    <n v="206.96199999999999"/>
    <n v="2"/>
    <n v="-32.522599999999997"/>
    <x v="2"/>
    <x v="0"/>
  </r>
  <r>
    <s v="CA-2017-168837"/>
    <x v="277"/>
    <d v="2017-10-17T00:00:00"/>
    <x v="2"/>
    <s v="JW-15955"/>
    <s v="Joni Wasserman"/>
    <x v="0"/>
    <s v="United States"/>
    <x v="121"/>
    <x v="2"/>
    <x v="1"/>
    <s v="FUR-FU-10001918"/>
    <s v="Furniture"/>
    <x v="3"/>
    <s v="C-Line Cubicle Keepers Polyproplyene Holder With Velcro Backings"/>
    <n v="9.4600000000000009"/>
    <n v="2"/>
    <n v="3.6894"/>
    <x v="0"/>
    <x v="1"/>
  </r>
  <r>
    <s v="CA-2015-130785"/>
    <x v="278"/>
    <d v="2015-09-09T00:00:00"/>
    <x v="1"/>
    <s v="AG-10900"/>
    <s v="Arthur Gainer"/>
    <x v="0"/>
    <s v="United States"/>
    <x v="53"/>
    <x v="2"/>
    <x v="1"/>
    <s v="FUR-BO-10000330"/>
    <s v="Furniture"/>
    <x v="0"/>
    <s v="Sauder Camden County Barrister Bookcase, Planked Cherry Finish"/>
    <n v="411.33199999999999"/>
    <n v="4"/>
    <n v="-4.8391999999999999"/>
    <x v="4"/>
    <x v="4"/>
  </r>
  <r>
    <s v="CA-2015-130785"/>
    <x v="278"/>
    <d v="2015-09-09T00:00:00"/>
    <x v="1"/>
    <s v="AG-10900"/>
    <s v="Arthur Gainer"/>
    <x v="0"/>
    <s v="United States"/>
    <x v="53"/>
    <x v="2"/>
    <x v="1"/>
    <s v="FUR-BO-10003159"/>
    <s v="Furniture"/>
    <x v="0"/>
    <s v="Sauder Camden County Collection Libraries, Planked Cherry Finish"/>
    <n v="293.19900000000001"/>
    <n v="3"/>
    <n v="-20.696400000000001"/>
    <x v="4"/>
    <x v="4"/>
  </r>
  <r>
    <s v="CA-2016-110254"/>
    <x v="279"/>
    <d v="2016-08-08T00:00:00"/>
    <x v="1"/>
    <s v="ML-17755"/>
    <s v="Max Ludwig"/>
    <x v="2"/>
    <s v="United States"/>
    <x v="122"/>
    <x v="25"/>
    <x v="0"/>
    <s v="FUR-FU-10001591"/>
    <s v="Furniture"/>
    <x v="3"/>
    <s v="Advantus Panel Wall Certificate Holder - 8.5x11"/>
    <n v="109.8"/>
    <n v="9"/>
    <n v="46.116"/>
    <x v="4"/>
    <x v="10"/>
  </r>
  <r>
    <s v="CA-2014-120474"/>
    <x v="280"/>
    <d v="2014-12-03T00:00:00"/>
    <x v="2"/>
    <s v="RP-19390"/>
    <s v="Resi Pšlking"/>
    <x v="0"/>
    <s v="United States"/>
    <x v="123"/>
    <x v="16"/>
    <x v="3"/>
    <s v="FUR-CH-10001854"/>
    <s v="Furniture"/>
    <x v="1"/>
    <s v="Office Star - Professional Matrix Back Chair with 2-to-1 Synchro Tilt and Mesh Fabric Seat"/>
    <n v="2807.84"/>
    <n v="8"/>
    <n v="673.88160000000005"/>
    <x v="3"/>
    <x v="5"/>
  </r>
  <r>
    <s v="CA-2016-100965"/>
    <x v="281"/>
    <d v="2016-07-11T00:00:00"/>
    <x v="1"/>
    <s v="RM-19375"/>
    <s v="Raymond Messe"/>
    <x v="0"/>
    <s v="United States"/>
    <x v="124"/>
    <x v="2"/>
    <x v="1"/>
    <s v="FUR-FU-10003039"/>
    <s v="Furniture"/>
    <x v="3"/>
    <s v="Howard Miller 11-1/2&quot; Diameter Grantwood Wall Clock"/>
    <n v="215.65"/>
    <n v="5"/>
    <n v="73.320999999999998"/>
    <x v="4"/>
    <x v="3"/>
  </r>
  <r>
    <s v="CA-2016-149461"/>
    <x v="282"/>
    <d v="2016-11-19T00:00:00"/>
    <x v="1"/>
    <s v="AS-10135"/>
    <s v="Adrian Shami"/>
    <x v="2"/>
    <s v="United States"/>
    <x v="83"/>
    <x v="13"/>
    <x v="1"/>
    <s v="FUR-FU-10004270"/>
    <s v="Furniture"/>
    <x v="3"/>
    <s v="Eldon Image Series Desk Accessories, Burgundy"/>
    <n v="4.18"/>
    <n v="1"/>
    <n v="1.5047999999999999"/>
    <x v="6"/>
    <x v="0"/>
  </r>
  <r>
    <s v="CA-2016-165484"/>
    <x v="283"/>
    <d v="2016-10-29T00:00:00"/>
    <x v="1"/>
    <s v="HK-14890"/>
    <s v="Heather Kirkland"/>
    <x v="1"/>
    <s v="United States"/>
    <x v="9"/>
    <x v="8"/>
    <x v="3"/>
    <s v="FUR-FU-10001196"/>
    <s v="Furniture"/>
    <x v="3"/>
    <s v="DAX Cubicle Frames - 8x10"/>
    <n v="16.155999999999999"/>
    <n v="7"/>
    <n v="-12.117000000000001"/>
    <x v="6"/>
    <x v="1"/>
  </r>
  <r>
    <s v="CA-2014-132612"/>
    <x v="2"/>
    <d v="2014-06-11T00:00:00"/>
    <x v="0"/>
    <s v="FO-14305"/>
    <s v="Frank Olsen"/>
    <x v="0"/>
    <s v="United States"/>
    <x v="95"/>
    <x v="25"/>
    <x v="0"/>
    <s v="FUR-TA-10004534"/>
    <s v="Furniture"/>
    <x v="2"/>
    <s v="Bevis 44 x 96 Conference Tables"/>
    <n v="1441.3"/>
    <n v="7"/>
    <n v="245.02099999999999"/>
    <x v="3"/>
    <x v="2"/>
  </r>
  <r>
    <s v="US-2017-161193"/>
    <x v="93"/>
    <d v="2017-11-26T00:00:00"/>
    <x v="1"/>
    <s v="BT-11680"/>
    <s v="Brian Thompson"/>
    <x v="0"/>
    <s v="United States"/>
    <x v="19"/>
    <x v="15"/>
    <x v="2"/>
    <s v="FUR-FU-10001861"/>
    <s v="Furniture"/>
    <x v="3"/>
    <s v="Floodlight Indoor Halogen Bulbs, 1 Bulb per Pack, 60 Watts"/>
    <n v="77.599999999999994"/>
    <n v="5"/>
    <n v="28.13"/>
    <x v="6"/>
    <x v="0"/>
  </r>
  <r>
    <s v="US-2017-161193"/>
    <x v="93"/>
    <d v="2017-11-26T00:00:00"/>
    <x v="1"/>
    <s v="BT-11680"/>
    <s v="Brian Thompson"/>
    <x v="0"/>
    <s v="United States"/>
    <x v="19"/>
    <x v="15"/>
    <x v="2"/>
    <s v="FUR-FU-10000206"/>
    <s v="Furniture"/>
    <x v="3"/>
    <s v="GE General Purpose, Extra Long Life, Showcase &amp; Floodlight Incandescent Bulbs"/>
    <n v="4.6559999999999997"/>
    <n v="2"/>
    <n v="1.5713999999999999"/>
    <x v="6"/>
    <x v="0"/>
  </r>
  <r>
    <s v="CA-2015-131597"/>
    <x v="221"/>
    <d v="2015-09-18T00:00:00"/>
    <x v="1"/>
    <s v="SP-20620"/>
    <s v="Stefania Perrino"/>
    <x v="1"/>
    <s v="United States"/>
    <x v="2"/>
    <x v="2"/>
    <x v="1"/>
    <s v="FUR-TA-10002607"/>
    <s v="Furniture"/>
    <x v="2"/>
    <s v="KI Conference Tables"/>
    <n v="170.136"/>
    <n v="3"/>
    <n v="-8.5068000000000001"/>
    <x v="4"/>
    <x v="4"/>
  </r>
  <r>
    <s v="US-2014-130379"/>
    <x v="284"/>
    <d v="2014-05-29T00:00:00"/>
    <x v="1"/>
    <s v="JL-15235"/>
    <s v="Janet Lee"/>
    <x v="0"/>
    <s v="United States"/>
    <x v="9"/>
    <x v="8"/>
    <x v="3"/>
    <s v="FUR-FU-10002553"/>
    <s v="Furniture"/>
    <x v="3"/>
    <s v="Electrix Incandescent Magnifying Lamp, Black"/>
    <n v="29.32"/>
    <n v="2"/>
    <n v="-24.189"/>
    <x v="4"/>
    <x v="7"/>
  </r>
  <r>
    <s v="CA-2016-168956"/>
    <x v="285"/>
    <d v="2016-02-20T00:00:00"/>
    <x v="1"/>
    <s v="EA-14035"/>
    <s v="Erin Ashbrook"/>
    <x v="1"/>
    <s v="United States"/>
    <x v="9"/>
    <x v="8"/>
    <x v="3"/>
    <s v="FUR-CH-10004754"/>
    <s v="Furniture"/>
    <x v="1"/>
    <s v="Global Stack Chair with Arms, Black"/>
    <n v="62.957999999999998"/>
    <n v="3"/>
    <n v="-2.6981999999999999"/>
    <x v="4"/>
    <x v="11"/>
  </r>
  <r>
    <s v="CA-2016-167507"/>
    <x v="286"/>
    <d v="2016-12-28T00:00:00"/>
    <x v="1"/>
    <s v="SA-20830"/>
    <s v="Sue Ann Reed"/>
    <x v="0"/>
    <s v="United States"/>
    <x v="125"/>
    <x v="36"/>
    <x v="1"/>
    <s v="FUR-FU-10001935"/>
    <s v="Furniture"/>
    <x v="3"/>
    <s v="3M Hangers With Command Adhesive"/>
    <n v="11.84"/>
    <n v="4"/>
    <n v="3.1080000000000001"/>
    <x v="6"/>
    <x v="5"/>
  </r>
  <r>
    <s v="CA-2016-167507"/>
    <x v="286"/>
    <d v="2016-12-28T00:00:00"/>
    <x v="1"/>
    <s v="SA-20830"/>
    <s v="Sue Ann Reed"/>
    <x v="0"/>
    <s v="United States"/>
    <x v="125"/>
    <x v="36"/>
    <x v="1"/>
    <s v="FUR-FU-10002878"/>
    <s v="Furniture"/>
    <x v="3"/>
    <s v="Seth Thomas 14&quot; Day/Date Wall Clock"/>
    <n v="22.783999999999999"/>
    <n v="1"/>
    <n v="4.8415999999999997"/>
    <x v="6"/>
    <x v="5"/>
  </r>
  <r>
    <s v="CA-2017-145884"/>
    <x v="85"/>
    <d v="2017-10-21T00:00:00"/>
    <x v="3"/>
    <s v="SL-20155"/>
    <s v="Sara Luxemburg"/>
    <x v="2"/>
    <s v="United States"/>
    <x v="126"/>
    <x v="37"/>
    <x v="3"/>
    <s v="FUR-TA-10002356"/>
    <s v="Furniture"/>
    <x v="2"/>
    <s v="Bevis Boat-Shaped Conference Table"/>
    <n v="262.11"/>
    <n v="1"/>
    <n v="62.906399999999998"/>
    <x v="7"/>
    <x v="1"/>
  </r>
  <r>
    <s v="CA-2015-131422"/>
    <x v="287"/>
    <d v="2015-11-09T00:00:00"/>
    <x v="1"/>
    <s v="GB-14530"/>
    <s v="George Bell"/>
    <x v="1"/>
    <s v="United States"/>
    <x v="91"/>
    <x v="30"/>
    <x v="0"/>
    <s v="FUR-CH-10001270"/>
    <s v="Furniture"/>
    <x v="1"/>
    <s v="Harbour Creations Steel Folding Chair"/>
    <n v="207"/>
    <n v="3"/>
    <n v="25.875"/>
    <x v="4"/>
    <x v="0"/>
  </r>
  <r>
    <s v="CA-2014-117345"/>
    <x v="288"/>
    <d v="2014-08-05T00:00:00"/>
    <x v="1"/>
    <s v="BF-10975"/>
    <s v="Barbara Fisher"/>
    <x v="1"/>
    <s v="United States"/>
    <x v="127"/>
    <x v="30"/>
    <x v="0"/>
    <s v="FUR-FU-10000629"/>
    <s v="Furniture"/>
    <x v="3"/>
    <s v="9-3/4 Diameter Round Wall Clock"/>
    <n v="44.128"/>
    <n v="4"/>
    <n v="12.135199999999999"/>
    <x v="4"/>
    <x v="10"/>
  </r>
  <r>
    <s v="CA-2016-157763"/>
    <x v="196"/>
    <d v="2016-07-23T00:00:00"/>
    <x v="1"/>
    <s v="KH-16330"/>
    <s v="Katharine Harms"/>
    <x v="1"/>
    <s v="United States"/>
    <x v="128"/>
    <x v="0"/>
    <x v="0"/>
    <s v="FUR-CH-10000988"/>
    <s v="Furniture"/>
    <x v="1"/>
    <s v="Hon Olson Stacker Stools"/>
    <n v="140.81"/>
    <n v="1"/>
    <n v="39.4268"/>
    <x v="2"/>
    <x v="3"/>
  </r>
  <r>
    <s v="CA-2015-135391"/>
    <x v="289"/>
    <d v="2015-02-11T00:00:00"/>
    <x v="0"/>
    <s v="FA-14230"/>
    <s v="Frank Atkinson"/>
    <x v="1"/>
    <s v="United States"/>
    <x v="21"/>
    <x v="5"/>
    <x v="3"/>
    <s v="FUR-FU-10001986"/>
    <s v="Furniture"/>
    <x v="3"/>
    <s v="Dana Fluorescent Magnifying Lamp, White, 36&quot;"/>
    <n v="40.783999999999999"/>
    <n v="2"/>
    <n v="-30.588000000000001"/>
    <x v="3"/>
    <x v="11"/>
  </r>
  <r>
    <s v="US-2017-158512"/>
    <x v="290"/>
    <d v="2017-01-17T00:00:00"/>
    <x v="0"/>
    <s v="DA-13450"/>
    <s v="Dianna Arnett"/>
    <x v="2"/>
    <s v="United States"/>
    <x v="85"/>
    <x v="29"/>
    <x v="2"/>
    <s v="FUR-FU-10004973"/>
    <s v="Furniture"/>
    <x v="3"/>
    <s v="Flat Face Poster Frame"/>
    <n v="37.68"/>
    <n v="2"/>
    <n v="15.8256"/>
    <x v="2"/>
    <x v="8"/>
  </r>
  <r>
    <s v="CA-2017-128370"/>
    <x v="291"/>
    <d v="2017-09-10T00:00:00"/>
    <x v="3"/>
    <s v="FH-14275"/>
    <s v="Frank Hawley"/>
    <x v="1"/>
    <s v="United States"/>
    <x v="2"/>
    <x v="2"/>
    <x v="1"/>
    <s v="FUR-CH-10002602"/>
    <s v="Furniture"/>
    <x v="1"/>
    <s v="DMI Arturo Collection Mission-style Design Wood Chair"/>
    <n v="362.35199999999998"/>
    <n v="3"/>
    <n v="27.176400000000001"/>
    <x v="7"/>
    <x v="4"/>
  </r>
  <r>
    <s v="US-2017-121251"/>
    <x v="292"/>
    <d v="2017-03-27T00:00:00"/>
    <x v="2"/>
    <s v="GM-14440"/>
    <s v="Gary McGarr"/>
    <x v="0"/>
    <s v="United States"/>
    <x v="13"/>
    <x v="7"/>
    <x v="2"/>
    <s v="FUR-BO-10001918"/>
    <s v="Furniture"/>
    <x v="0"/>
    <s v="Sauder Forest Hills Library with Doors, Woodland Oak Finish"/>
    <n v="257.56799999999998"/>
    <n v="2"/>
    <n v="-28.976400000000002"/>
    <x v="5"/>
    <x v="9"/>
  </r>
  <r>
    <s v="US-2016-100839"/>
    <x v="25"/>
    <d v="2016-10-17T00:00:00"/>
    <x v="1"/>
    <s v="NC-18625"/>
    <s v="Noah Childs"/>
    <x v="1"/>
    <s v="United States"/>
    <x v="14"/>
    <x v="12"/>
    <x v="1"/>
    <s v="FUR-TA-10004575"/>
    <s v="Furniture"/>
    <x v="2"/>
    <s v="Hon 5100 Series Wood Tables"/>
    <n v="727.45"/>
    <n v="5"/>
    <n v="-465.56799999999998"/>
    <x v="4"/>
    <x v="1"/>
  </r>
  <r>
    <s v="US-2016-100839"/>
    <x v="25"/>
    <d v="2016-10-17T00:00:00"/>
    <x v="1"/>
    <s v="NC-18625"/>
    <s v="Noah Childs"/>
    <x v="1"/>
    <s v="United States"/>
    <x v="14"/>
    <x v="12"/>
    <x v="1"/>
    <s v="FUR-FU-10001617"/>
    <s v="Furniture"/>
    <x v="3"/>
    <s v="Executive Impressions 8-1/2&quot; Career Panel/Partition Cubicle Clock"/>
    <n v="24.96"/>
    <n v="3"/>
    <n v="4.3680000000000003"/>
    <x v="4"/>
    <x v="1"/>
  </r>
  <r>
    <s v="CA-2017-118857"/>
    <x v="293"/>
    <d v="2017-04-18T00:00:00"/>
    <x v="2"/>
    <s v="AH-10075"/>
    <s v="Adam Hart"/>
    <x v="1"/>
    <s v="United States"/>
    <x v="0"/>
    <x v="34"/>
    <x v="1"/>
    <s v="FUR-FU-10004460"/>
    <s v="Furniture"/>
    <x v="3"/>
    <s v="Howard Miller 12&quot; Round Wall Clock"/>
    <n v="196.45"/>
    <n v="5"/>
    <n v="70.721999999999994"/>
    <x v="0"/>
    <x v="6"/>
  </r>
  <r>
    <s v="CA-2014-116932"/>
    <x v="294"/>
    <d v="2014-07-25T00:00:00"/>
    <x v="1"/>
    <s v="ME-18010"/>
    <s v="Michelle Ellison"/>
    <x v="1"/>
    <s v="United States"/>
    <x v="28"/>
    <x v="2"/>
    <x v="1"/>
    <s v="FUR-CH-10001215"/>
    <s v="Furniture"/>
    <x v="1"/>
    <s v="Global Troy Executive Leather Low-Back Tilter"/>
    <n v="801.56799999999998"/>
    <n v="2"/>
    <n v="50.097999999999999"/>
    <x v="4"/>
    <x v="3"/>
  </r>
  <r>
    <s v="CA-2014-116932"/>
    <x v="294"/>
    <d v="2014-07-25T00:00:00"/>
    <x v="1"/>
    <s v="ME-18010"/>
    <s v="Michelle Ellison"/>
    <x v="1"/>
    <s v="United States"/>
    <x v="28"/>
    <x v="2"/>
    <x v="1"/>
    <s v="FUR-TA-10004175"/>
    <s v="Furniture"/>
    <x v="2"/>
    <s v="Hon 30&quot; x 60&quot; Table with Locking Drawer"/>
    <n v="272.84800000000001"/>
    <n v="1"/>
    <n v="27.284800000000001"/>
    <x v="4"/>
    <x v="3"/>
  </r>
  <r>
    <s v="CA-2017-142888"/>
    <x v="295"/>
    <d v="2017-11-25T00:00:00"/>
    <x v="1"/>
    <s v="BP-11230"/>
    <s v="Benjamin Patterson"/>
    <x v="0"/>
    <s v="United States"/>
    <x v="129"/>
    <x v="13"/>
    <x v="1"/>
    <s v="FUR-TA-10004767"/>
    <s v="Furniture"/>
    <x v="2"/>
    <s v="Safco Drafting Table"/>
    <n v="70.98"/>
    <n v="1"/>
    <n v="20.584199999999999"/>
    <x v="4"/>
    <x v="0"/>
  </r>
  <r>
    <s v="US-2016-112977"/>
    <x v="296"/>
    <d v="2016-03-16T00:00:00"/>
    <x v="1"/>
    <s v="CJ-12010"/>
    <s v="Caroline Jumper"/>
    <x v="0"/>
    <s v="United States"/>
    <x v="62"/>
    <x v="7"/>
    <x v="2"/>
    <s v="FUR-BO-10003272"/>
    <s v="Furniture"/>
    <x v="0"/>
    <s v="O'Sullivan Living Dimensions 5-Shelf Bookcases"/>
    <n v="176.78399999999999"/>
    <n v="1"/>
    <n v="-22.097999999999999"/>
    <x v="6"/>
    <x v="9"/>
  </r>
  <r>
    <s v="CA-2017-118885"/>
    <x v="297"/>
    <d v="2018-01-02T00:00:00"/>
    <x v="1"/>
    <s v="JG-15160"/>
    <s v="James Galang"/>
    <x v="0"/>
    <s v="United States"/>
    <x v="2"/>
    <x v="2"/>
    <x v="1"/>
    <s v="FUR-CH-10002880"/>
    <s v="Furniture"/>
    <x v="1"/>
    <s v="Global High-Back Leather Tilter, Burgundy"/>
    <n v="393.56799999999998"/>
    <n v="4"/>
    <n v="-44.276400000000002"/>
    <x v="4"/>
    <x v="5"/>
  </r>
  <r>
    <s v="CA-2015-109512"/>
    <x v="298"/>
    <d v="2015-03-05T00:00:00"/>
    <x v="3"/>
    <s v="LF-17185"/>
    <s v="Luke Foster"/>
    <x v="0"/>
    <s v="United States"/>
    <x v="13"/>
    <x v="7"/>
    <x v="2"/>
    <s v="FUR-CH-10001146"/>
    <s v="Furniture"/>
    <x v="1"/>
    <s v="Global Value Mid-Back Manager's Chair, Gray"/>
    <n v="383.60700000000003"/>
    <n v="7"/>
    <n v="63.9345"/>
    <x v="7"/>
    <x v="9"/>
  </r>
  <r>
    <s v="CA-2016-147578"/>
    <x v="74"/>
    <d v="2016-04-26T00:00:00"/>
    <x v="0"/>
    <s v="PG-18895"/>
    <s v="Paul Gonzalez"/>
    <x v="0"/>
    <s v="United States"/>
    <x v="28"/>
    <x v="2"/>
    <x v="1"/>
    <s v="FUR-FU-10001889"/>
    <s v="Furniture"/>
    <x v="3"/>
    <s v="Ultra Door Pull Handle"/>
    <n v="31.56"/>
    <n v="3"/>
    <n v="10.4148"/>
    <x v="4"/>
    <x v="6"/>
  </r>
  <r>
    <s v="CA-2014-142587"/>
    <x v="299"/>
    <d v="2014-10-22T00:00:00"/>
    <x v="2"/>
    <s v="TB-21520"/>
    <s v="Tracy Blumstein"/>
    <x v="0"/>
    <s v="United States"/>
    <x v="130"/>
    <x v="15"/>
    <x v="2"/>
    <s v="FUR-TA-10000617"/>
    <s v="Furniture"/>
    <x v="2"/>
    <s v="Hon Practical Foundations 30 x 60 Training Table, Light Gray/Charcoal"/>
    <n v="409.59"/>
    <n v="3"/>
    <n v="-122.877"/>
    <x v="5"/>
    <x v="1"/>
  </r>
  <r>
    <s v="CA-2014-169775"/>
    <x v="300"/>
    <d v="2014-09-02T00:00:00"/>
    <x v="0"/>
    <s v="RA-19945"/>
    <s v="Ryan Akin"/>
    <x v="0"/>
    <s v="United States"/>
    <x v="89"/>
    <x v="1"/>
    <x v="0"/>
    <s v="FUR-TA-10001857"/>
    <s v="Furniture"/>
    <x v="2"/>
    <s v="Balt Solid Wood Rectangular Table"/>
    <n v="174.05850000000001"/>
    <n v="3"/>
    <n v="-110.7645"/>
    <x v="4"/>
    <x v="10"/>
  </r>
  <r>
    <s v="CA-2017-167094"/>
    <x v="85"/>
    <d v="2017-10-22T00:00:00"/>
    <x v="2"/>
    <s v="DK-12835"/>
    <s v="Damala Kotsonis"/>
    <x v="1"/>
    <s v="United States"/>
    <x v="76"/>
    <x v="36"/>
    <x v="1"/>
    <s v="FUR-CH-10000155"/>
    <s v="Furniture"/>
    <x v="1"/>
    <s v="Global Comet Stacking Armless Chair"/>
    <n v="478.48"/>
    <n v="2"/>
    <n v="47.847999999999999"/>
    <x v="5"/>
    <x v="1"/>
  </r>
  <r>
    <s v="CA-2015-157959"/>
    <x v="136"/>
    <d v="2015-02-04T00:00:00"/>
    <x v="2"/>
    <s v="RW-19540"/>
    <s v="Rick Wilson"/>
    <x v="1"/>
    <s v="United States"/>
    <x v="2"/>
    <x v="2"/>
    <x v="1"/>
    <s v="FUR-FU-10004093"/>
    <s v="Furniture"/>
    <x v="3"/>
    <s v="Hand-Finished Solid Wood Document Frame"/>
    <n v="136.91999999999999"/>
    <n v="4"/>
    <n v="41.076000000000001"/>
    <x v="5"/>
    <x v="11"/>
  </r>
  <r>
    <s v="CA-2017-105886"/>
    <x v="186"/>
    <d v="2017-12-23T00:00:00"/>
    <x v="1"/>
    <s v="DB-13660"/>
    <s v="Duane Benoit"/>
    <x v="0"/>
    <s v="United States"/>
    <x v="64"/>
    <x v="7"/>
    <x v="2"/>
    <s v="FUR-FU-10001037"/>
    <s v="Furniture"/>
    <x v="3"/>
    <s v="DAX Charcoal/Nickel-Tone Document Frame, 5 x 7"/>
    <n v="18.96"/>
    <n v="2"/>
    <n v="8.532"/>
    <x v="2"/>
    <x v="5"/>
  </r>
  <r>
    <s v="US-2017-111423"/>
    <x v="301"/>
    <d v="2017-08-19T00:00:00"/>
    <x v="2"/>
    <s v="EH-13765"/>
    <s v="Edward Hooks"/>
    <x v="1"/>
    <s v="United States"/>
    <x v="115"/>
    <x v="7"/>
    <x v="2"/>
    <s v="FUR-CH-10003981"/>
    <s v="Furniture"/>
    <x v="1"/>
    <s v="Global Commerce Series Low-Back Swivel/Tilt Chairs"/>
    <n v="462.56400000000002"/>
    <n v="2"/>
    <n v="97.6524"/>
    <x v="3"/>
    <x v="10"/>
  </r>
  <r>
    <s v="CA-2017-161200"/>
    <x v="302"/>
    <d v="2017-08-10T00:00:00"/>
    <x v="0"/>
    <s v="SV-20365"/>
    <s v="Seth Vernon"/>
    <x v="0"/>
    <s v="United States"/>
    <x v="120"/>
    <x v="35"/>
    <x v="0"/>
    <s v="FUR-BO-10000468"/>
    <s v="Furniture"/>
    <x v="0"/>
    <s v="O'Sullivan 2-Shelf Heavy-Duty Bookcases"/>
    <n v="145.74"/>
    <n v="3"/>
    <n v="23.3184"/>
    <x v="4"/>
    <x v="10"/>
  </r>
  <r>
    <s v="CA-2017-161200"/>
    <x v="302"/>
    <d v="2017-08-10T00:00:00"/>
    <x v="0"/>
    <s v="SV-20365"/>
    <s v="Seth Vernon"/>
    <x v="0"/>
    <s v="United States"/>
    <x v="120"/>
    <x v="35"/>
    <x v="0"/>
    <s v="FUR-FU-10001706"/>
    <s v="Furniture"/>
    <x v="3"/>
    <s v="Longer-Life Soft White Bulbs"/>
    <n v="15.4"/>
    <n v="5"/>
    <n v="7.3920000000000003"/>
    <x v="4"/>
    <x v="10"/>
  </r>
  <r>
    <s v="CA-2015-141768"/>
    <x v="303"/>
    <d v="2015-05-27T00:00:00"/>
    <x v="0"/>
    <s v="NP-18685"/>
    <s v="Nora Pelletier"/>
    <x v="2"/>
    <s v="United States"/>
    <x v="28"/>
    <x v="2"/>
    <x v="1"/>
    <s v="FUR-FU-10002268"/>
    <s v="Furniture"/>
    <x v="3"/>
    <s v="Ultra Door Push Plate"/>
    <n v="14.73"/>
    <n v="3"/>
    <n v="4.8609"/>
    <x v="3"/>
    <x v="7"/>
  </r>
  <r>
    <s v="CA-2016-112109"/>
    <x v="304"/>
    <d v="2016-07-12T00:00:00"/>
    <x v="1"/>
    <s v="JE-15715"/>
    <s v="Joe Elijah"/>
    <x v="0"/>
    <s v="United States"/>
    <x v="131"/>
    <x v="12"/>
    <x v="1"/>
    <s v="FUR-CH-10004287"/>
    <s v="Furniture"/>
    <x v="1"/>
    <s v="SAFCO Arco Folding Chair"/>
    <n v="662.88"/>
    <n v="3"/>
    <n v="74.573999999999998"/>
    <x v="4"/>
    <x v="3"/>
  </r>
  <r>
    <s v="CA-2017-157987"/>
    <x v="113"/>
    <d v="2017-09-06T00:00:00"/>
    <x v="1"/>
    <s v="AC-10615"/>
    <s v="Ann Chong"/>
    <x v="1"/>
    <s v="United States"/>
    <x v="13"/>
    <x v="7"/>
    <x v="2"/>
    <s v="FUR-FU-10001196"/>
    <s v="Furniture"/>
    <x v="3"/>
    <s v="DAX Cubicle Frames - 8x10"/>
    <n v="11.54"/>
    <n v="2"/>
    <n v="3.4620000000000002"/>
    <x v="4"/>
    <x v="4"/>
  </r>
  <r>
    <s v="CA-2017-157987"/>
    <x v="113"/>
    <d v="2017-09-06T00:00:00"/>
    <x v="1"/>
    <s v="AC-10615"/>
    <s v="Ann Chong"/>
    <x v="1"/>
    <s v="United States"/>
    <x v="13"/>
    <x v="7"/>
    <x v="2"/>
    <s v="FUR-TA-10001889"/>
    <s v="Furniture"/>
    <x v="2"/>
    <s v="Bush Advantage Collection Racetrack Conference Table"/>
    <n v="254.52600000000001"/>
    <n v="1"/>
    <n v="-93.3262"/>
    <x v="4"/>
    <x v="4"/>
  </r>
  <r>
    <s v="CA-2017-157987"/>
    <x v="113"/>
    <d v="2017-09-06T00:00:00"/>
    <x v="1"/>
    <s v="AC-10615"/>
    <s v="Ann Chong"/>
    <x v="1"/>
    <s v="United States"/>
    <x v="13"/>
    <x v="7"/>
    <x v="2"/>
    <s v="FUR-CH-10003379"/>
    <s v="Furniture"/>
    <x v="1"/>
    <s v="Global Commerce Series High-Back Swivel/Tilt Chairs"/>
    <n v="1282.4100000000001"/>
    <n v="5"/>
    <n v="213.73500000000001"/>
    <x v="4"/>
    <x v="4"/>
  </r>
  <r>
    <s v="CA-2014-110408"/>
    <x v="305"/>
    <d v="2014-10-20T00:00:00"/>
    <x v="0"/>
    <s v="AS-10225"/>
    <s v="Alan Schoenberger"/>
    <x v="1"/>
    <s v="United States"/>
    <x v="132"/>
    <x v="33"/>
    <x v="0"/>
    <s v="FUR-CH-10003774"/>
    <s v="Furniture"/>
    <x v="1"/>
    <s v="Global Wood Trimmed Manager's Task Chair, Khaki"/>
    <n v="545.88"/>
    <n v="6"/>
    <n v="70.964399999999998"/>
    <x v="3"/>
    <x v="1"/>
  </r>
  <r>
    <s v="CA-2016-112669"/>
    <x v="65"/>
    <d v="2016-04-14T00:00:00"/>
    <x v="3"/>
    <s v="KT-16465"/>
    <s v="Kean Takahito"/>
    <x v="0"/>
    <s v="United States"/>
    <x v="110"/>
    <x v="22"/>
    <x v="1"/>
    <s v="FUR-CH-10004086"/>
    <s v="Furniture"/>
    <x v="1"/>
    <s v="Hon 4070 Series Pagoda Armless Upholstered Stacking Chairs"/>
    <n v="933.53599999999994"/>
    <n v="4"/>
    <n v="105.0228"/>
    <x v="7"/>
    <x v="6"/>
  </r>
  <r>
    <s v="CA-2014-164721"/>
    <x v="306"/>
    <d v="2014-11-27T00:00:00"/>
    <x v="0"/>
    <s v="LW-16825"/>
    <s v="Laurel Workman"/>
    <x v="1"/>
    <s v="United States"/>
    <x v="133"/>
    <x v="2"/>
    <x v="1"/>
    <s v="FUR-FU-10001940"/>
    <s v="Furniture"/>
    <x v="3"/>
    <s v="Staple-based wall hangings"/>
    <n v="23.88"/>
    <n v="3"/>
    <n v="10.507199999999999"/>
    <x v="3"/>
    <x v="0"/>
  </r>
  <r>
    <s v="CA-2015-127509"/>
    <x v="307"/>
    <d v="2015-11-13T00:00:00"/>
    <x v="1"/>
    <s v="AS-10090"/>
    <s v="Adam Shillingsburg"/>
    <x v="0"/>
    <s v="United States"/>
    <x v="76"/>
    <x v="23"/>
    <x v="3"/>
    <s v="FUR-TA-10002855"/>
    <s v="Furniture"/>
    <x v="2"/>
    <s v="Bevis Round Conference Table Top &amp; Single Column Base"/>
    <n v="1024.3800000000001"/>
    <n v="7"/>
    <n v="215.1198"/>
    <x v="4"/>
    <x v="0"/>
  </r>
  <r>
    <s v="US-2017-147221"/>
    <x v="308"/>
    <d v="2017-12-04T00:00:00"/>
    <x v="0"/>
    <s v="JS-16030"/>
    <s v="Joy Smith"/>
    <x v="0"/>
    <s v="United States"/>
    <x v="6"/>
    <x v="5"/>
    <x v="3"/>
    <s v="FUR-FU-10004020"/>
    <s v="Furniture"/>
    <x v="3"/>
    <s v="Advantus Panel Wall Acrylic Frame"/>
    <n v="8.7520000000000007"/>
    <n v="4"/>
    <n v="-3.7195999999999998"/>
    <x v="3"/>
    <x v="5"/>
  </r>
  <r>
    <s v="CA-2017-163510"/>
    <x v="19"/>
    <d v="2017-12-28T00:00:00"/>
    <x v="0"/>
    <s v="JW-15955"/>
    <s v="Joni Wasserman"/>
    <x v="0"/>
    <s v="United States"/>
    <x v="74"/>
    <x v="0"/>
    <x v="0"/>
    <s v="FUR-CH-10001146"/>
    <s v="Furniture"/>
    <x v="1"/>
    <s v="Global Value Mid-Back Manager's Chair, Gray"/>
    <n v="304.45"/>
    <n v="5"/>
    <n v="76.112499999999997"/>
    <x v="0"/>
    <x v="5"/>
  </r>
  <r>
    <s v="CA-2017-165386"/>
    <x v="309"/>
    <d v="2017-08-04T00:00:00"/>
    <x v="2"/>
    <s v="CM-12190"/>
    <s v="Charlotte Melton"/>
    <x v="0"/>
    <s v="United States"/>
    <x v="9"/>
    <x v="8"/>
    <x v="3"/>
    <s v="FUR-BO-10003034"/>
    <s v="Furniture"/>
    <x v="0"/>
    <s v="O'Sullivan Elevations Bookcase, Cherry Finish"/>
    <n v="183.37200000000001"/>
    <n v="2"/>
    <n v="-36.674399999999999"/>
    <x v="5"/>
    <x v="10"/>
  </r>
  <r>
    <s v="CA-2016-145905"/>
    <x v="126"/>
    <d v="2016-09-23T00:00:00"/>
    <x v="1"/>
    <s v="AM-10705"/>
    <s v="Anne McFarland"/>
    <x v="0"/>
    <s v="United States"/>
    <x v="83"/>
    <x v="33"/>
    <x v="0"/>
    <s v="FUR-CH-10001854"/>
    <s v="Furniture"/>
    <x v="1"/>
    <s v="Office Star - Professional Matrix Back Chair with 2-to-1 Synchro Tilt and Mesh Fabric Seat"/>
    <n v="350.98"/>
    <n v="1"/>
    <n v="84.235200000000006"/>
    <x v="2"/>
    <x v="4"/>
  </r>
  <r>
    <s v="CA-2016-168354"/>
    <x v="107"/>
    <d v="2016-09-21T00:00:00"/>
    <x v="2"/>
    <s v="RH-19510"/>
    <s v="Rick Huthwaite"/>
    <x v="2"/>
    <s v="United States"/>
    <x v="134"/>
    <x v="38"/>
    <x v="2"/>
    <s v="FUR-CH-10004675"/>
    <s v="Furniture"/>
    <x v="1"/>
    <s v="Lifetime Advantage Folding Chairs, 4/Carton"/>
    <n v="872.32"/>
    <n v="4"/>
    <n v="244.24959999999999"/>
    <x v="3"/>
    <x v="4"/>
  </r>
  <r>
    <s v="CA-2015-114237"/>
    <x v="310"/>
    <d v="2015-03-15T00:00:00"/>
    <x v="2"/>
    <s v="MC-17275"/>
    <s v="Marc Crier"/>
    <x v="0"/>
    <s v="United States"/>
    <x v="15"/>
    <x v="13"/>
    <x v="1"/>
    <s v="FUR-BO-10004409"/>
    <s v="Furniture"/>
    <x v="0"/>
    <s v="Safco Value Mate Series Steel Bookcases, Baked Enamel Finish on Steel, Gray"/>
    <n v="141.96"/>
    <n v="2"/>
    <n v="39.748800000000003"/>
    <x v="3"/>
    <x v="9"/>
  </r>
  <r>
    <s v="CA-2017-162481"/>
    <x v="58"/>
    <d v="2017-09-29T00:00:00"/>
    <x v="1"/>
    <s v="CT-11995"/>
    <s v="Carol Triggs"/>
    <x v="0"/>
    <s v="United States"/>
    <x v="77"/>
    <x v="11"/>
    <x v="3"/>
    <s v="FUR-CH-10003061"/>
    <s v="Furniture"/>
    <x v="1"/>
    <s v="Global Leather Task Chair, Black"/>
    <n v="269.97000000000003"/>
    <n v="3"/>
    <n v="51.2943"/>
    <x v="4"/>
    <x v="4"/>
  </r>
  <r>
    <s v="CA-2015-122287"/>
    <x v="311"/>
    <d v="2015-06-23T00:00:00"/>
    <x v="1"/>
    <s v="SN-20560"/>
    <s v="Skye Norling"/>
    <x v="2"/>
    <s v="United States"/>
    <x v="117"/>
    <x v="22"/>
    <x v="1"/>
    <s v="FUR-FU-10004973"/>
    <s v="Furniture"/>
    <x v="3"/>
    <s v="Flat Face Poster Frame"/>
    <n v="75.36"/>
    <n v="5"/>
    <n v="20.724"/>
    <x v="2"/>
    <x v="2"/>
  </r>
  <r>
    <s v="CA-2015-142237"/>
    <x v="312"/>
    <d v="2015-07-13T00:00:00"/>
    <x v="2"/>
    <s v="CK-12595"/>
    <s v="Clytie Kelty"/>
    <x v="0"/>
    <s v="United States"/>
    <x v="3"/>
    <x v="3"/>
    <x v="2"/>
    <s v="FUR-FU-10004848"/>
    <s v="Furniture"/>
    <x v="3"/>
    <s v="Howard Miller 13-3/4&quot; Diameter Brushed Chrome Round Wall Clock"/>
    <n v="289.8"/>
    <n v="7"/>
    <n v="36.225000000000001"/>
    <x v="3"/>
    <x v="3"/>
  </r>
  <r>
    <s v="CA-2015-142237"/>
    <x v="312"/>
    <d v="2015-07-13T00:00:00"/>
    <x v="2"/>
    <s v="CK-12595"/>
    <s v="Clytie Kelty"/>
    <x v="0"/>
    <s v="United States"/>
    <x v="3"/>
    <x v="3"/>
    <x v="2"/>
    <s v="FUR-CH-10003833"/>
    <s v="Furniture"/>
    <x v="1"/>
    <s v="Novimex Fabric Task Chair"/>
    <n v="341.488"/>
    <n v="8"/>
    <n v="-73.176000000000002"/>
    <x v="3"/>
    <x v="3"/>
  </r>
  <r>
    <s v="CA-2015-142237"/>
    <x v="312"/>
    <d v="2015-07-13T00:00:00"/>
    <x v="2"/>
    <s v="CK-12595"/>
    <s v="Clytie Kelty"/>
    <x v="0"/>
    <s v="United States"/>
    <x v="3"/>
    <x v="3"/>
    <x v="2"/>
    <s v="FUR-FU-10003142"/>
    <s v="Furniture"/>
    <x v="3"/>
    <s v="Master Big Foot Doorstop, Beige"/>
    <n v="25.344000000000001"/>
    <n v="6"/>
    <n v="3.4847999999999999"/>
    <x v="3"/>
    <x v="3"/>
  </r>
  <r>
    <s v="CA-2016-136434"/>
    <x v="193"/>
    <d v="2016-12-07T00:00:00"/>
    <x v="1"/>
    <s v="RD-19480"/>
    <s v="Rick Duston"/>
    <x v="0"/>
    <s v="United States"/>
    <x v="52"/>
    <x v="6"/>
    <x v="3"/>
    <s v="FUR-FU-10001196"/>
    <s v="Furniture"/>
    <x v="3"/>
    <s v="DAX Cubicle Frames - 8x10"/>
    <n v="17.309999999999999"/>
    <n v="3"/>
    <n v="5.1929999999999996"/>
    <x v="6"/>
    <x v="5"/>
  </r>
  <r>
    <s v="CA-2017-120376"/>
    <x v="313"/>
    <d v="2017-12-25T00:00:00"/>
    <x v="2"/>
    <s v="TP-21130"/>
    <s v="Theone Pippenger"/>
    <x v="0"/>
    <s v="United States"/>
    <x v="25"/>
    <x v="17"/>
    <x v="3"/>
    <s v="FUR-CH-10002335"/>
    <s v="Furniture"/>
    <x v="1"/>
    <s v="Hon GuestStacker Chair"/>
    <n v="1586.69"/>
    <n v="7"/>
    <n v="412.5394"/>
    <x v="0"/>
    <x v="5"/>
  </r>
  <r>
    <s v="CA-2017-120376"/>
    <x v="313"/>
    <d v="2017-12-25T00:00:00"/>
    <x v="2"/>
    <s v="TP-21130"/>
    <s v="Theone Pippenger"/>
    <x v="0"/>
    <s v="United States"/>
    <x v="25"/>
    <x v="17"/>
    <x v="3"/>
    <s v="FUR-TA-10004534"/>
    <s v="Furniture"/>
    <x v="2"/>
    <s v="Bevis 44 x 96 Conference Tables"/>
    <n v="411.8"/>
    <n v="2"/>
    <n v="70.006"/>
    <x v="0"/>
    <x v="5"/>
  </r>
  <r>
    <s v="CA-2014-106439"/>
    <x v="314"/>
    <d v="2014-11-04T00:00:00"/>
    <x v="1"/>
    <s v="GG-14650"/>
    <s v="Greg Guthrie"/>
    <x v="1"/>
    <s v="United States"/>
    <x v="2"/>
    <x v="2"/>
    <x v="1"/>
    <s v="FUR-CH-10003833"/>
    <s v="Furniture"/>
    <x v="1"/>
    <s v="Novimex Fabric Task Chair"/>
    <n v="146.352"/>
    <n v="3"/>
    <n v="-9.1470000000000002"/>
    <x v="4"/>
    <x v="1"/>
  </r>
  <r>
    <s v="CA-2015-133452"/>
    <x v="315"/>
    <d v="2015-04-19T00:00:00"/>
    <x v="1"/>
    <s v="ZC-21910"/>
    <s v="Zuschuss Carroll"/>
    <x v="0"/>
    <s v="United States"/>
    <x v="135"/>
    <x v="2"/>
    <x v="1"/>
    <s v="FUR-TA-10003954"/>
    <s v="Furniture"/>
    <x v="2"/>
    <s v="Hon 94000 Series Round Tables"/>
    <n v="710.83199999999999"/>
    <n v="3"/>
    <n v="-97.739400000000003"/>
    <x v="6"/>
    <x v="6"/>
  </r>
  <r>
    <s v="US-2017-110996"/>
    <x v="93"/>
    <d v="2017-11-25T00:00:00"/>
    <x v="1"/>
    <s v="KA-16525"/>
    <s v="Kelly Andreada"/>
    <x v="0"/>
    <s v="United States"/>
    <x v="136"/>
    <x v="2"/>
    <x v="1"/>
    <s v="FUR-CH-10003956"/>
    <s v="Furniture"/>
    <x v="1"/>
    <s v="Novimex High-Tech Fabric Mesh Task Chair"/>
    <n v="283.92"/>
    <n v="5"/>
    <n v="-46.137"/>
    <x v="2"/>
    <x v="0"/>
  </r>
  <r>
    <s v="CA-2014-131051"/>
    <x v="280"/>
    <d v="2014-12-05T00:00:00"/>
    <x v="1"/>
    <s v="TR-21325"/>
    <s v="Toby Ritter"/>
    <x v="0"/>
    <s v="United States"/>
    <x v="28"/>
    <x v="2"/>
    <x v="1"/>
    <s v="FUR-FU-10001861"/>
    <s v="Furniture"/>
    <x v="3"/>
    <s v="Floodlight Indoor Halogen Bulbs, 1 Bulb per Pack, 60 Watts"/>
    <n v="58.2"/>
    <n v="3"/>
    <n v="28.518000000000001"/>
    <x v="4"/>
    <x v="5"/>
  </r>
  <r>
    <s v="CA-2015-120103"/>
    <x v="37"/>
    <d v="2015-12-29T00:00:00"/>
    <x v="1"/>
    <s v="MS-17365"/>
    <s v="Maribeth Schnelling"/>
    <x v="0"/>
    <s v="United States"/>
    <x v="43"/>
    <x v="22"/>
    <x v="1"/>
    <s v="FUR-FU-10002885"/>
    <s v="Furniture"/>
    <x v="3"/>
    <s v="Magna Visual Magnetic Picture Hangers"/>
    <n v="7.7119999999999997"/>
    <n v="2"/>
    <n v="1.7352000000000001"/>
    <x v="2"/>
    <x v="5"/>
  </r>
  <r>
    <s v="CA-2017-166142"/>
    <x v="316"/>
    <d v="2017-07-19T00:00:00"/>
    <x v="1"/>
    <s v="MM-17260"/>
    <s v="Magdelene Morse"/>
    <x v="0"/>
    <s v="United States"/>
    <x v="16"/>
    <x v="14"/>
    <x v="2"/>
    <s v="FUR-TA-10004607"/>
    <s v="Furniture"/>
    <x v="2"/>
    <s v="Hon 2111 Invitation Series Straight Table"/>
    <n v="310.44299999999998"/>
    <n v="3"/>
    <n v="-48.783900000000003"/>
    <x v="4"/>
    <x v="3"/>
  </r>
  <r>
    <s v="CA-2014-145926"/>
    <x v="317"/>
    <d v="2014-11-21T00:00:00"/>
    <x v="1"/>
    <s v="MP-17470"/>
    <s v="Mark Packer"/>
    <x v="2"/>
    <s v="United States"/>
    <x v="137"/>
    <x v="11"/>
    <x v="3"/>
    <s v="FUR-CH-10004289"/>
    <s v="Furniture"/>
    <x v="1"/>
    <s v="Global Super Steno Chair"/>
    <n v="479.9"/>
    <n v="5"/>
    <n v="81.582999999999998"/>
    <x v="4"/>
    <x v="0"/>
  </r>
  <r>
    <s v="CA-2014-123295"/>
    <x v="318"/>
    <d v="2014-07-18T00:00:00"/>
    <x v="3"/>
    <s v="AH-10120"/>
    <s v="Adrian Hane"/>
    <x v="2"/>
    <s v="United States"/>
    <x v="104"/>
    <x v="22"/>
    <x v="1"/>
    <s v="FUR-CH-10002372"/>
    <s v="Furniture"/>
    <x v="1"/>
    <s v="Office Star - Ergonomically Designed Knee Chair"/>
    <n v="259.13600000000002"/>
    <n v="4"/>
    <n v="-25.913599999999999"/>
    <x v="7"/>
    <x v="3"/>
  </r>
  <r>
    <s v="CA-2015-164882"/>
    <x v="319"/>
    <d v="2015-10-31T00:00:00"/>
    <x v="3"/>
    <s v="SG-20080"/>
    <s v="Sandra Glassco"/>
    <x v="0"/>
    <s v="United States"/>
    <x v="138"/>
    <x v="2"/>
    <x v="1"/>
    <s v="FUR-CH-10004218"/>
    <s v="Furniture"/>
    <x v="1"/>
    <s v="Global Fabric Manager's Chair, Dark Gray"/>
    <n v="323.13600000000002"/>
    <n v="4"/>
    <n v="20.196000000000002"/>
    <x v="7"/>
    <x v="1"/>
  </r>
  <r>
    <s v="CA-2015-164882"/>
    <x v="319"/>
    <d v="2015-10-31T00:00:00"/>
    <x v="3"/>
    <s v="SG-20080"/>
    <s v="Sandra Glassco"/>
    <x v="0"/>
    <s v="United States"/>
    <x v="138"/>
    <x v="2"/>
    <x v="1"/>
    <s v="FUR-BO-10002213"/>
    <s v="Furniture"/>
    <x v="0"/>
    <s v="DMI Eclipse Executive Suite Bookcases"/>
    <n v="425.83300000000003"/>
    <n v="1"/>
    <n v="20.039200000000001"/>
    <x v="7"/>
    <x v="1"/>
  </r>
  <r>
    <s v="CA-2015-159786"/>
    <x v="33"/>
    <d v="2015-10-17T00:00:00"/>
    <x v="0"/>
    <s v="RK-19300"/>
    <s v="Ralph Kennedy"/>
    <x v="0"/>
    <s v="United States"/>
    <x v="77"/>
    <x v="7"/>
    <x v="2"/>
    <s v="FUR-TA-10001307"/>
    <s v="Furniture"/>
    <x v="2"/>
    <s v="SAFCO PlanMaster Heigh-Adjustable Drafting Table Base, 43w x 30d x 30-37h, Black"/>
    <n v="209.67"/>
    <n v="1"/>
    <n v="-13.978"/>
    <x v="2"/>
    <x v="1"/>
  </r>
  <r>
    <s v="CA-2017-158246"/>
    <x v="17"/>
    <d v="2017-11-11T00:00:00"/>
    <x v="2"/>
    <s v="JB-15400"/>
    <s v="Jennifer Braxton"/>
    <x v="1"/>
    <s v="United States"/>
    <x v="139"/>
    <x v="2"/>
    <x v="1"/>
    <s v="FUR-CH-10003061"/>
    <s v="Furniture"/>
    <x v="1"/>
    <s v="Global Leather Task Chair, Black"/>
    <n v="215.976"/>
    <n v="3"/>
    <n v="-2.6997"/>
    <x v="3"/>
    <x v="0"/>
  </r>
  <r>
    <s v="CA-2017-167381"/>
    <x v="320"/>
    <d v="2017-09-24T00:00:00"/>
    <x v="0"/>
    <s v="EH-14005"/>
    <s v="Erica Hernandez"/>
    <x v="2"/>
    <s v="United States"/>
    <x v="140"/>
    <x v="17"/>
    <x v="3"/>
    <s v="FUR-BO-10001972"/>
    <s v="Furniture"/>
    <x v="0"/>
    <s v="O'Sullivan 4-Shelf Bookcase in Odessa Pine"/>
    <n v="241.96"/>
    <n v="2"/>
    <n v="41.133200000000002"/>
    <x v="3"/>
    <x v="4"/>
  </r>
  <r>
    <s v="CA-2015-134859"/>
    <x v="103"/>
    <d v="2015-10-09T00:00:00"/>
    <x v="1"/>
    <s v="JK-16120"/>
    <s v="Julie Kriz"/>
    <x v="2"/>
    <s v="United States"/>
    <x v="3"/>
    <x v="3"/>
    <x v="2"/>
    <s v="FUR-FU-10003623"/>
    <s v="Furniture"/>
    <x v="3"/>
    <s v="DataProducts Ampli Magnifier Task Lamp, Black,"/>
    <n v="64.944000000000003"/>
    <n v="3"/>
    <n v="6.4943999999999997"/>
    <x v="2"/>
    <x v="1"/>
  </r>
  <r>
    <s v="US-2014-114188"/>
    <x v="321"/>
    <d v="2014-05-22T00:00:00"/>
    <x v="0"/>
    <s v="RF-19345"/>
    <s v="Randy Ferguson"/>
    <x v="1"/>
    <s v="United States"/>
    <x v="63"/>
    <x v="28"/>
    <x v="2"/>
    <s v="FUR-FU-10000076"/>
    <s v="Furniture"/>
    <x v="3"/>
    <s v="24-Hour Round Wall Clock"/>
    <n v="139.86000000000001"/>
    <n v="7"/>
    <n v="60.139800000000001"/>
    <x v="3"/>
    <x v="7"/>
  </r>
  <r>
    <s v="CA-2015-156377"/>
    <x v="322"/>
    <d v="2016-01-05T00:00:00"/>
    <x v="1"/>
    <s v="TB-21625"/>
    <s v="Trudy Brown"/>
    <x v="0"/>
    <s v="United States"/>
    <x v="141"/>
    <x v="5"/>
    <x v="3"/>
    <s v="FUR-FU-10002364"/>
    <s v="Furniture"/>
    <x v="3"/>
    <s v="Eldon Expressions Wood Desk Accessories, Oak"/>
    <n v="14.76"/>
    <n v="5"/>
    <n v="-11.439"/>
    <x v="2"/>
    <x v="5"/>
  </r>
  <r>
    <s v="CA-2014-159520"/>
    <x v="323"/>
    <d v="2014-06-11T00:00:00"/>
    <x v="1"/>
    <s v="GT-14635"/>
    <s v="Grant Thornton"/>
    <x v="1"/>
    <s v="United States"/>
    <x v="62"/>
    <x v="7"/>
    <x v="2"/>
    <s v="FUR-TA-10003238"/>
    <s v="Furniture"/>
    <x v="2"/>
    <s v="Chromcraft Bull-Nose Wood 48&quot; x 96&quot; Rectangular Conference Tables"/>
    <n v="991.76400000000001"/>
    <n v="3"/>
    <n v="-347.11739999999998"/>
    <x v="2"/>
    <x v="2"/>
  </r>
  <r>
    <s v="US-2016-152051"/>
    <x v="324"/>
    <d v="2016-06-29T00:00:00"/>
    <x v="1"/>
    <s v="TS-21160"/>
    <s v="Theresa Swint"/>
    <x v="1"/>
    <s v="United States"/>
    <x v="142"/>
    <x v="3"/>
    <x v="2"/>
    <s v="FUR-CH-10002965"/>
    <s v="Furniture"/>
    <x v="1"/>
    <s v="Global Leather Highback Executive Chair with Pneumatic Height Adjustment, Black"/>
    <n v="422.05799999999999"/>
    <n v="3"/>
    <n v="-18.088200000000001"/>
    <x v="4"/>
    <x v="2"/>
  </r>
  <r>
    <s v="CA-2014-141607"/>
    <x v="202"/>
    <d v="2014-12-17T00:00:00"/>
    <x v="1"/>
    <s v="WB-21850"/>
    <s v="William Brown"/>
    <x v="0"/>
    <s v="United States"/>
    <x v="41"/>
    <x v="2"/>
    <x v="1"/>
    <s v="FUR-FU-10003975"/>
    <s v="Furniture"/>
    <x v="3"/>
    <s v="Eldon Advantage Chair Mats for Low to Medium Pile Carpets"/>
    <n v="43.31"/>
    <n v="1"/>
    <n v="4.3310000000000004"/>
    <x v="2"/>
    <x v="5"/>
  </r>
  <r>
    <s v="US-2017-139969"/>
    <x v="49"/>
    <d v="2017-11-26T00:00:00"/>
    <x v="1"/>
    <s v="AF-10870"/>
    <s v="Art Ferguson"/>
    <x v="0"/>
    <s v="United States"/>
    <x v="143"/>
    <x v="5"/>
    <x v="3"/>
    <s v="FUR-CH-10001973"/>
    <s v="Furniture"/>
    <x v="1"/>
    <s v="Office Star Flex Back Scooter Chair with White Frame"/>
    <n v="233.05799999999999"/>
    <n v="3"/>
    <n v="-53.270400000000002"/>
    <x v="1"/>
    <x v="0"/>
  </r>
  <r>
    <s v="US-2016-120460"/>
    <x v="325"/>
    <d v="2016-05-05T00:00:00"/>
    <x v="1"/>
    <s v="BF-11170"/>
    <s v="Ben Ferrer"/>
    <x v="2"/>
    <s v="United States"/>
    <x v="144"/>
    <x v="5"/>
    <x v="3"/>
    <s v="FUR-FU-10004973"/>
    <s v="Furniture"/>
    <x v="3"/>
    <s v="Flat Face Poster Frame"/>
    <n v="22.608000000000001"/>
    <n v="3"/>
    <n v="-10.1736"/>
    <x v="2"/>
    <x v="6"/>
  </r>
  <r>
    <s v="CA-2016-141019"/>
    <x v="326"/>
    <d v="2016-05-14T00:00:00"/>
    <x v="3"/>
    <s v="LH-17155"/>
    <s v="Logan Haushalter"/>
    <x v="0"/>
    <s v="United States"/>
    <x v="145"/>
    <x v="15"/>
    <x v="2"/>
    <s v="FUR-FU-10002937"/>
    <s v="Furniture"/>
    <x v="3"/>
    <s v="GE 48&quot; Fluorescent Tube, Cool White Energy Saver, 34 Watts, 30/Box"/>
    <n v="79.384"/>
    <n v="1"/>
    <n v="29.768999999999998"/>
    <x v="7"/>
    <x v="7"/>
  </r>
  <r>
    <s v="CA-2016-154018"/>
    <x v="25"/>
    <d v="2016-10-19T00:00:00"/>
    <x v="1"/>
    <s v="HA-14920"/>
    <s v="Helen Andreada"/>
    <x v="0"/>
    <s v="United States"/>
    <x v="146"/>
    <x v="5"/>
    <x v="3"/>
    <s v="FUR-FU-10003394"/>
    <s v="Furniture"/>
    <x v="3"/>
    <s v="Tenex &quot;The Solids&quot; Textured Chair Mats"/>
    <n v="139.91999999999999"/>
    <n v="5"/>
    <n v="-150.41399999999999"/>
    <x v="6"/>
    <x v="1"/>
  </r>
  <r>
    <s v="US-2017-137491"/>
    <x v="49"/>
    <d v="2017-11-25T00:00:00"/>
    <x v="1"/>
    <s v="LC-16930"/>
    <s v="Linda Cazamias"/>
    <x v="1"/>
    <s v="United States"/>
    <x v="147"/>
    <x v="5"/>
    <x v="3"/>
    <s v="FUR-CH-10004675"/>
    <s v="Furniture"/>
    <x v="1"/>
    <s v="Lifetime Advantage Folding Chairs, 4/Carton"/>
    <n v="305.31200000000001"/>
    <n v="2"/>
    <n v="-8.7232000000000003"/>
    <x v="6"/>
    <x v="0"/>
  </r>
  <r>
    <s v="CA-2016-128818"/>
    <x v="327"/>
    <d v="2016-05-11T00:00:00"/>
    <x v="1"/>
    <s v="CJ-12010"/>
    <s v="Caroline Jumper"/>
    <x v="0"/>
    <s v="United States"/>
    <x v="13"/>
    <x v="7"/>
    <x v="2"/>
    <s v="FUR-CH-10002084"/>
    <s v="Furniture"/>
    <x v="1"/>
    <s v="Hon Mobius Operator's Chair"/>
    <n v="442.76400000000001"/>
    <n v="4"/>
    <n v="59.035200000000003"/>
    <x v="4"/>
    <x v="7"/>
  </r>
  <r>
    <s v="CA-2016-128818"/>
    <x v="327"/>
    <d v="2016-05-11T00:00:00"/>
    <x v="1"/>
    <s v="CJ-12010"/>
    <s v="Caroline Jumper"/>
    <x v="0"/>
    <s v="United States"/>
    <x v="13"/>
    <x v="7"/>
    <x v="2"/>
    <s v="FUR-FU-10001940"/>
    <s v="Furniture"/>
    <x v="3"/>
    <s v="Staple-based wall hangings"/>
    <n v="63.68"/>
    <n v="8"/>
    <n v="28.019200000000001"/>
    <x v="4"/>
    <x v="7"/>
  </r>
  <r>
    <s v="CA-2017-143063"/>
    <x v="328"/>
    <d v="2017-08-15T00:00:00"/>
    <x v="1"/>
    <s v="IL-15100"/>
    <s v="Ivan Liston"/>
    <x v="0"/>
    <s v="United States"/>
    <x v="29"/>
    <x v="6"/>
    <x v="3"/>
    <s v="FUR-FU-10003708"/>
    <s v="Furniture"/>
    <x v="3"/>
    <s v="Tenex Traditional Chairmats for Medium Pile Carpet, Standard Lip, 36&quot; x 48&quot;"/>
    <n v="121.3"/>
    <n v="2"/>
    <n v="25.472999999999999"/>
    <x v="2"/>
    <x v="10"/>
  </r>
  <r>
    <s v="US-2014-165659"/>
    <x v="42"/>
    <d v="2014-06-06T00:00:00"/>
    <x v="1"/>
    <s v="LT-17110"/>
    <s v="Liz Thompson"/>
    <x v="0"/>
    <s v="United States"/>
    <x v="148"/>
    <x v="31"/>
    <x v="0"/>
    <s v="FUR-FU-10001935"/>
    <s v="Furniture"/>
    <x v="3"/>
    <s v="3M Hangers With Command Adhesive"/>
    <n v="22.2"/>
    <n v="6"/>
    <n v="9.1020000000000003"/>
    <x v="2"/>
    <x v="2"/>
  </r>
  <r>
    <s v="CA-2015-138002"/>
    <x v="329"/>
    <d v="2015-09-12T00:00:00"/>
    <x v="1"/>
    <s v="BT-11305"/>
    <s v="Beth Thompson"/>
    <x v="2"/>
    <s v="United States"/>
    <x v="15"/>
    <x v="13"/>
    <x v="1"/>
    <s v="FUR-FU-10004748"/>
    <s v="Furniture"/>
    <x v="3"/>
    <s v="Howard Miller 16&quot; Diameter Gallery Wall Clock"/>
    <n v="191.82"/>
    <n v="3"/>
    <n v="74.809799999999996"/>
    <x v="6"/>
    <x v="4"/>
  </r>
  <r>
    <s v="CA-2015-128860"/>
    <x v="330"/>
    <d v="2015-07-05T00:00:00"/>
    <x v="1"/>
    <s v="SC-20725"/>
    <s v="Steven Cartwright"/>
    <x v="0"/>
    <s v="United States"/>
    <x v="68"/>
    <x v="3"/>
    <x v="2"/>
    <s v="FUR-FU-10001473"/>
    <s v="Furniture"/>
    <x v="3"/>
    <s v="Eldon Executive Woodline II Desk Accessories, Mahogany"/>
    <n v="20.103999999999999"/>
    <n v="1"/>
    <n v="1.7591000000000001"/>
    <x v="6"/>
    <x v="2"/>
  </r>
  <r>
    <s v="CA-2017-107874"/>
    <x v="295"/>
    <d v="2017-11-25T00:00:00"/>
    <x v="1"/>
    <s v="SW-20275"/>
    <s v="Scott Williamson"/>
    <x v="0"/>
    <s v="United States"/>
    <x v="13"/>
    <x v="7"/>
    <x v="2"/>
    <s v="FUR-FU-10003535"/>
    <s v="Furniture"/>
    <x v="3"/>
    <s v="Howard Miller Distant Time Traveler Alarm Clock"/>
    <n v="27.42"/>
    <n v="1"/>
    <n v="11.2422"/>
    <x v="4"/>
    <x v="0"/>
  </r>
  <r>
    <s v="CA-2017-129378"/>
    <x v="95"/>
    <d v="2017-10-02T00:00:00"/>
    <x v="2"/>
    <s v="NS-18505"/>
    <s v="Neola Schneider"/>
    <x v="0"/>
    <s v="United States"/>
    <x v="124"/>
    <x v="2"/>
    <x v="1"/>
    <s v="FUR-CH-10000553"/>
    <s v="Furniture"/>
    <x v="1"/>
    <s v="Metal Folding Chairs, Beige, 4/Carton"/>
    <n v="108.608"/>
    <n v="4"/>
    <n v="9.5031999999999996"/>
    <x v="5"/>
    <x v="1"/>
  </r>
  <r>
    <s v="CA-2015-131884"/>
    <x v="248"/>
    <d v="2015-12-06T00:00:00"/>
    <x v="3"/>
    <s v="DK-13375"/>
    <s v="Dennis Kane"/>
    <x v="0"/>
    <s v="United States"/>
    <x v="149"/>
    <x v="15"/>
    <x v="2"/>
    <s v="FUR-CH-10004860"/>
    <s v="Furniture"/>
    <x v="1"/>
    <s v="Global Low Back Tilter Chair"/>
    <n v="70.686000000000007"/>
    <n v="1"/>
    <n v="-24.235199999999999"/>
    <x v="7"/>
    <x v="5"/>
  </r>
  <r>
    <s v="CA-2016-106383"/>
    <x v="331"/>
    <d v="2016-03-21T00:00:00"/>
    <x v="0"/>
    <s v="BT-11440"/>
    <s v="Bobby Trafton"/>
    <x v="0"/>
    <s v="United States"/>
    <x v="150"/>
    <x v="12"/>
    <x v="1"/>
    <s v="FUR-BO-10002202"/>
    <s v="Furniture"/>
    <x v="0"/>
    <s v="Atlantic Metals Mobile 2-Shelf Bookcases, Custom Colors"/>
    <n v="72.293999999999997"/>
    <n v="1"/>
    <n v="-98.8018"/>
    <x v="3"/>
    <x v="9"/>
  </r>
  <r>
    <s v="CA-2016-139157"/>
    <x v="180"/>
    <d v="2016-10-05T00:00:00"/>
    <x v="1"/>
    <s v="GM-14680"/>
    <s v="Greg Matthias"/>
    <x v="0"/>
    <s v="United States"/>
    <x v="13"/>
    <x v="7"/>
    <x v="2"/>
    <s v="FUR-TA-10003238"/>
    <s v="Furniture"/>
    <x v="2"/>
    <s v="Chromcraft Bull-Nose Wood 48&quot; x 96&quot; Rectangular Conference Tables"/>
    <n v="330.58800000000002"/>
    <n v="1"/>
    <n v="-115.7058"/>
    <x v="4"/>
    <x v="1"/>
  </r>
  <r>
    <s v="CA-2017-157091"/>
    <x v="332"/>
    <d v="2017-07-01T00:00:00"/>
    <x v="1"/>
    <s v="DB-13405"/>
    <s v="Denny Blanton"/>
    <x v="0"/>
    <s v="United States"/>
    <x v="101"/>
    <x v="6"/>
    <x v="3"/>
    <s v="FUR-FU-10000293"/>
    <s v="Furniture"/>
    <x v="3"/>
    <s v="Eldon Antistatic Chair Mats for Low to Medium Pile Carpets"/>
    <n v="526.45000000000005"/>
    <n v="5"/>
    <n v="31.587"/>
    <x v="2"/>
    <x v="2"/>
  </r>
  <r>
    <s v="CA-2017-166849"/>
    <x v="333"/>
    <d v="2017-04-26T00:00:00"/>
    <x v="1"/>
    <s v="SJ-20125"/>
    <s v="Sanjit Jacobs"/>
    <x v="2"/>
    <s v="United States"/>
    <x v="9"/>
    <x v="8"/>
    <x v="3"/>
    <s v="FUR-FU-10004597"/>
    <s v="Furniture"/>
    <x v="3"/>
    <s v="Eldon Cleatmat Chair Mats for Medium Pile Carpets"/>
    <n v="44.4"/>
    <n v="2"/>
    <n v="-52.17"/>
    <x v="6"/>
    <x v="6"/>
  </r>
  <r>
    <s v="CA-2016-164091"/>
    <x v="334"/>
    <d v="2016-09-22T00:00:00"/>
    <x v="1"/>
    <s v="LA-16780"/>
    <s v="Laura Armstrong"/>
    <x v="1"/>
    <s v="United States"/>
    <x v="151"/>
    <x v="39"/>
    <x v="2"/>
    <s v="FUR-FU-10004952"/>
    <s v="Furniture"/>
    <x v="3"/>
    <s v="C-Line Cubicle Keepers Polyproplyene Holder w/Velcro Back, 8-1/2x11, 25/Bx"/>
    <n v="109.48"/>
    <n v="2"/>
    <n v="33.938800000000001"/>
    <x v="2"/>
    <x v="4"/>
  </r>
  <r>
    <s v="CA-2017-105214"/>
    <x v="140"/>
    <d v="2017-06-19T00:00:00"/>
    <x v="2"/>
    <s v="TS-21610"/>
    <s v="Troy Staebel"/>
    <x v="0"/>
    <s v="United States"/>
    <x v="28"/>
    <x v="2"/>
    <x v="1"/>
    <s v="FUR-CH-10000015"/>
    <s v="Furniture"/>
    <x v="1"/>
    <s v="Hon Multipurpose Stacking Arm Chairs"/>
    <n v="1212.96"/>
    <n v="7"/>
    <n v="90.971999999999994"/>
    <x v="0"/>
    <x v="2"/>
  </r>
  <r>
    <s v="CA-2017-122994"/>
    <x v="335"/>
    <d v="2017-02-09T00:00:00"/>
    <x v="2"/>
    <s v="MV-17485"/>
    <s v="Mark Van Huff"/>
    <x v="0"/>
    <s v="United States"/>
    <x v="58"/>
    <x v="25"/>
    <x v="0"/>
    <s v="FUR-BO-10004015"/>
    <s v="Furniture"/>
    <x v="0"/>
    <s v="Bush Andora Bookcase, Maple/Graphite Gray Finish"/>
    <n v="359.97"/>
    <n v="3"/>
    <n v="79.193399999999997"/>
    <x v="0"/>
    <x v="11"/>
  </r>
  <r>
    <s v="CA-2015-142944"/>
    <x v="336"/>
    <d v="2015-03-11T00:00:00"/>
    <x v="1"/>
    <s v="JL-15850"/>
    <s v="John Lucas"/>
    <x v="0"/>
    <s v="United States"/>
    <x v="28"/>
    <x v="2"/>
    <x v="1"/>
    <s v="FUR-FU-10000308"/>
    <s v="Furniture"/>
    <x v="3"/>
    <s v="Deflect-o Glass Clear Studded Chair Mats"/>
    <n v="435.26"/>
    <n v="7"/>
    <n v="95.757199999999997"/>
    <x v="2"/>
    <x v="9"/>
  </r>
  <r>
    <s v="CA-2014-157882"/>
    <x v="215"/>
    <d v="2014-10-08T00:00:00"/>
    <x v="0"/>
    <s v="AR-10405"/>
    <s v="Allen Rosenblatt"/>
    <x v="1"/>
    <s v="United States"/>
    <x v="2"/>
    <x v="2"/>
    <x v="1"/>
    <s v="FUR-TA-10001866"/>
    <s v="Furniture"/>
    <x v="2"/>
    <s v="Bevis Round Conference Room Tables and Bases"/>
    <n v="143.43199999999999"/>
    <n v="1"/>
    <n v="3.5857999999999999"/>
    <x v="2"/>
    <x v="1"/>
  </r>
  <r>
    <s v="CA-2014-157882"/>
    <x v="215"/>
    <d v="2014-10-08T00:00:00"/>
    <x v="0"/>
    <s v="AR-10405"/>
    <s v="Allen Rosenblatt"/>
    <x v="1"/>
    <s v="United States"/>
    <x v="2"/>
    <x v="2"/>
    <x v="1"/>
    <s v="FUR-CH-10002774"/>
    <s v="Furniture"/>
    <x v="1"/>
    <s v="Global Deluxe Stacking Chair, Gray"/>
    <n v="122.352"/>
    <n v="3"/>
    <n v="13.7646"/>
    <x v="2"/>
    <x v="1"/>
  </r>
  <r>
    <s v="CA-2014-104283"/>
    <x v="337"/>
    <d v="2014-07-01T00:00:00"/>
    <x v="1"/>
    <s v="LM-17065"/>
    <s v="Liz MacKendrick"/>
    <x v="0"/>
    <s v="United States"/>
    <x v="152"/>
    <x v="21"/>
    <x v="0"/>
    <s v="FUR-TA-10001039"/>
    <s v="Furniture"/>
    <x v="2"/>
    <s v="KI Adjustable-Height Table"/>
    <n v="85.98"/>
    <n v="1"/>
    <n v="22.354800000000001"/>
    <x v="4"/>
    <x v="2"/>
  </r>
  <r>
    <s v="CA-2017-142622"/>
    <x v="242"/>
    <d v="2017-11-02T00:00:00"/>
    <x v="2"/>
    <s v="JK-15625"/>
    <s v="Jim Karlsson"/>
    <x v="0"/>
    <s v="United States"/>
    <x v="15"/>
    <x v="13"/>
    <x v="1"/>
    <s v="FUR-CH-10003833"/>
    <s v="Furniture"/>
    <x v="1"/>
    <s v="Novimex Fabric Task Chair"/>
    <n v="97.567999999999998"/>
    <n v="2"/>
    <n v="-6.0979999999999999"/>
    <x v="0"/>
    <x v="1"/>
  </r>
  <r>
    <s v="CA-2017-142622"/>
    <x v="242"/>
    <d v="2017-11-02T00:00:00"/>
    <x v="2"/>
    <s v="JK-15625"/>
    <s v="Jim Karlsson"/>
    <x v="0"/>
    <s v="United States"/>
    <x v="15"/>
    <x v="13"/>
    <x v="1"/>
    <s v="FUR-CH-10004289"/>
    <s v="Furniture"/>
    <x v="1"/>
    <s v="Global Super Steno Chair"/>
    <n v="614.27200000000005"/>
    <n v="8"/>
    <n v="-23.0352"/>
    <x v="0"/>
    <x v="1"/>
  </r>
  <r>
    <s v="CA-2017-142622"/>
    <x v="242"/>
    <d v="2017-11-02T00:00:00"/>
    <x v="2"/>
    <s v="JK-15625"/>
    <s v="Jim Karlsson"/>
    <x v="0"/>
    <s v="United States"/>
    <x v="15"/>
    <x v="13"/>
    <x v="1"/>
    <s v="FUR-BO-10004467"/>
    <s v="Furniture"/>
    <x v="0"/>
    <s v="Bestar Classic Bookcase"/>
    <n v="199.98"/>
    <n v="2"/>
    <n v="37.996200000000002"/>
    <x v="0"/>
    <x v="1"/>
  </r>
  <r>
    <s v="CA-2017-115154"/>
    <x v="338"/>
    <d v="2017-01-11T00:00:00"/>
    <x v="2"/>
    <s v="RS-19420"/>
    <s v="Ricardo Sperren"/>
    <x v="1"/>
    <s v="United States"/>
    <x v="15"/>
    <x v="13"/>
    <x v="1"/>
    <s v="FUR-TA-10001950"/>
    <s v="Furniture"/>
    <x v="2"/>
    <s v="Balt Solid Wood Round Tables"/>
    <n v="892.98"/>
    <n v="2"/>
    <n v="80.368200000000002"/>
    <x v="0"/>
    <x v="8"/>
  </r>
  <r>
    <s v="CA-2015-149342"/>
    <x v="339"/>
    <d v="2015-04-25T00:00:00"/>
    <x v="1"/>
    <s v="TS-21160"/>
    <s v="Theresa Swint"/>
    <x v="1"/>
    <s v="United States"/>
    <x v="29"/>
    <x v="24"/>
    <x v="0"/>
    <s v="FUR-FU-10002937"/>
    <s v="Furniture"/>
    <x v="3"/>
    <s v="GE 48&quot; Fluorescent Tube, Cool White Energy Saver, 34 Watts, 30/Box"/>
    <n v="595.38"/>
    <n v="6"/>
    <n v="297.69"/>
    <x v="2"/>
    <x v="6"/>
  </r>
  <r>
    <s v="CA-2017-127929"/>
    <x v="340"/>
    <d v="2017-12-27T00:00:00"/>
    <x v="1"/>
    <s v="FM-14215"/>
    <s v="Filia McAdams"/>
    <x v="1"/>
    <s v="United States"/>
    <x v="108"/>
    <x v="19"/>
    <x v="2"/>
    <s v="FUR-FU-10003708"/>
    <s v="Furniture"/>
    <x v="3"/>
    <s v="Tenex Traditional Chairmats for Medium Pile Carpet, Standard Lip, 36&quot; x 48&quot;"/>
    <n v="181.95"/>
    <n v="3"/>
    <n v="38.209499999999998"/>
    <x v="4"/>
    <x v="5"/>
  </r>
  <r>
    <s v="CA-2015-113145"/>
    <x v="341"/>
    <d v="2015-11-05T00:00:00"/>
    <x v="1"/>
    <s v="VD-21670"/>
    <s v="Valerie Dominguez"/>
    <x v="0"/>
    <s v="United States"/>
    <x v="13"/>
    <x v="7"/>
    <x v="2"/>
    <s v="FUR-FU-10000965"/>
    <s v="Furniture"/>
    <x v="3"/>
    <s v="Howard Miller 11-1/2&quot; Diameter Ridgewood Wall Clock"/>
    <n v="259.7"/>
    <n v="5"/>
    <n v="106.477"/>
    <x v="4"/>
    <x v="0"/>
  </r>
  <r>
    <s v="CA-2017-157931"/>
    <x v="342"/>
    <d v="2017-09-22T00:00:00"/>
    <x v="0"/>
    <s v="MO-17800"/>
    <s v="Meg O'Connel"/>
    <x v="2"/>
    <s v="United States"/>
    <x v="153"/>
    <x v="24"/>
    <x v="0"/>
    <s v="FUR-CH-10000785"/>
    <s v="Furniture"/>
    <x v="1"/>
    <s v="Global Ergonomic Managers Chair"/>
    <n v="723.92"/>
    <n v="4"/>
    <n v="188.2192"/>
    <x v="2"/>
    <x v="4"/>
  </r>
  <r>
    <s v="CA-2016-115574"/>
    <x v="207"/>
    <d v="2016-12-24T00:00:00"/>
    <x v="2"/>
    <s v="BP-11185"/>
    <s v="Ben Peterman"/>
    <x v="1"/>
    <s v="United States"/>
    <x v="9"/>
    <x v="8"/>
    <x v="3"/>
    <s v="FUR-BO-10003441"/>
    <s v="Furniture"/>
    <x v="0"/>
    <s v="Bush Westfield Collection Bookcases, Fully Assembled"/>
    <n v="141.37200000000001"/>
    <n v="2"/>
    <n v="-14.1372"/>
    <x v="5"/>
    <x v="5"/>
  </r>
  <r>
    <s v="US-2017-120418"/>
    <x v="343"/>
    <d v="2017-06-12T00:00:00"/>
    <x v="2"/>
    <s v="BC-11125"/>
    <s v="Becky Castell"/>
    <x v="2"/>
    <s v="United States"/>
    <x v="117"/>
    <x v="22"/>
    <x v="1"/>
    <s v="FUR-CH-10001394"/>
    <s v="Furniture"/>
    <x v="1"/>
    <s v="Global Leather Executive Chair"/>
    <n v="280.79199999999997"/>
    <n v="1"/>
    <n v="35.098999999999997"/>
    <x v="5"/>
    <x v="2"/>
  </r>
  <r>
    <s v="CA-2017-122035"/>
    <x v="96"/>
    <d v="2017-07-25T00:00:00"/>
    <x v="1"/>
    <s v="EM-13825"/>
    <s v="Elizabeth Moffitt"/>
    <x v="1"/>
    <s v="United States"/>
    <x v="154"/>
    <x v="40"/>
    <x v="3"/>
    <s v="FUR-CH-10003833"/>
    <s v="Furniture"/>
    <x v="1"/>
    <s v="Novimex Fabric Task Chair"/>
    <n v="182.94"/>
    <n v="3"/>
    <n v="27.440999999999999"/>
    <x v="2"/>
    <x v="3"/>
  </r>
  <r>
    <s v="CA-2015-105102"/>
    <x v="195"/>
    <d v="2015-09-19T00:00:00"/>
    <x v="0"/>
    <s v="BM-11575"/>
    <s v="Brendan Murry"/>
    <x v="1"/>
    <s v="United States"/>
    <x v="13"/>
    <x v="7"/>
    <x v="2"/>
    <s v="FUR-BO-10004709"/>
    <s v="Furniture"/>
    <x v="0"/>
    <s v="Bush Westfield Collection Bookcases, Medium Cherry Finish"/>
    <n v="46.384"/>
    <n v="1"/>
    <n v="1.1596"/>
    <x v="4"/>
    <x v="4"/>
  </r>
  <r>
    <s v="US-2015-147739"/>
    <x v="344"/>
    <d v="2015-12-29T00:00:00"/>
    <x v="1"/>
    <s v="JD-16150"/>
    <s v="Justin Deggeller"/>
    <x v="1"/>
    <s v="United States"/>
    <x v="3"/>
    <x v="3"/>
    <x v="2"/>
    <s v="FUR-FU-10001468"/>
    <s v="Furniture"/>
    <x v="3"/>
    <s v="Tenex Antistatic Computer Chair Mats"/>
    <n v="547.13599999999997"/>
    <n v="4"/>
    <n v="-68.391999999999996"/>
    <x v="4"/>
    <x v="5"/>
  </r>
  <r>
    <s v="US-2014-143231"/>
    <x v="252"/>
    <d v="2015-01-03T00:00:00"/>
    <x v="2"/>
    <s v="GM-14455"/>
    <s v="Gary Mitchum"/>
    <x v="2"/>
    <s v="United States"/>
    <x v="20"/>
    <x v="20"/>
    <x v="2"/>
    <s v="FUR-FU-10002501"/>
    <s v="Furniture"/>
    <x v="3"/>
    <s v="Nu-Dell Executive Frame"/>
    <n v="63.2"/>
    <n v="5"/>
    <n v="23.384"/>
    <x v="0"/>
    <x v="5"/>
  </r>
  <r>
    <s v="CA-2016-159373"/>
    <x v="345"/>
    <d v="2016-03-18T00:00:00"/>
    <x v="1"/>
    <s v="LT-17110"/>
    <s v="Liz Thompson"/>
    <x v="0"/>
    <s v="United States"/>
    <x v="21"/>
    <x v="5"/>
    <x v="3"/>
    <s v="FUR-TA-10004619"/>
    <s v="Furniture"/>
    <x v="2"/>
    <s v="Hon Non-Folding Utility Tables"/>
    <n v="557.58500000000004"/>
    <n v="5"/>
    <n v="0"/>
    <x v="2"/>
    <x v="9"/>
  </r>
  <r>
    <s v="CA-2015-111514"/>
    <x v="346"/>
    <d v="2015-09-02T00:00:00"/>
    <x v="2"/>
    <s v="SC-20260"/>
    <s v="Scott Cohen"/>
    <x v="1"/>
    <s v="United States"/>
    <x v="28"/>
    <x v="2"/>
    <x v="1"/>
    <s v="FUR-BO-10002545"/>
    <s v="Furniture"/>
    <x v="0"/>
    <s v="Atlantic Metals Mobile 3-Shelf Bookcases, Custom Colors"/>
    <n v="1552.8309999999999"/>
    <n v="7"/>
    <n v="200.9546"/>
    <x v="3"/>
    <x v="10"/>
  </r>
  <r>
    <s v="US-2014-148838"/>
    <x v="347"/>
    <d v="2014-03-21T00:00:00"/>
    <x v="1"/>
    <s v="CP-12340"/>
    <s v="Christine Phan"/>
    <x v="1"/>
    <s v="United States"/>
    <x v="13"/>
    <x v="7"/>
    <x v="2"/>
    <s v="FUR-TA-10003473"/>
    <s v="Furniture"/>
    <x v="2"/>
    <s v="Bretford Rectangular Conference Table Tops"/>
    <n v="1579.7460000000001"/>
    <n v="7"/>
    <n v="-447.59469999999999"/>
    <x v="4"/>
    <x v="9"/>
  </r>
  <r>
    <s v="US-2014-148838"/>
    <x v="347"/>
    <d v="2014-03-21T00:00:00"/>
    <x v="1"/>
    <s v="CP-12340"/>
    <s v="Christine Phan"/>
    <x v="1"/>
    <s v="United States"/>
    <x v="13"/>
    <x v="7"/>
    <x v="2"/>
    <s v="FUR-TA-10001950"/>
    <s v="Furniture"/>
    <x v="2"/>
    <s v="Balt Solid Wood Round Tables"/>
    <n v="1071.576"/>
    <n v="4"/>
    <n v="-553.64760000000001"/>
    <x v="4"/>
    <x v="9"/>
  </r>
  <r>
    <s v="US-2014-148838"/>
    <x v="347"/>
    <d v="2014-03-21T00:00:00"/>
    <x v="1"/>
    <s v="CP-12340"/>
    <s v="Christine Phan"/>
    <x v="1"/>
    <s v="United States"/>
    <x v="13"/>
    <x v="7"/>
    <x v="2"/>
    <s v="FUR-TA-10004175"/>
    <s v="Furniture"/>
    <x v="2"/>
    <s v="Hon 30&quot; x 60&quot; Table with Locking Drawer"/>
    <n v="613.90800000000002"/>
    <n v="3"/>
    <n v="-122.7816"/>
    <x v="4"/>
    <x v="9"/>
  </r>
  <r>
    <s v="US-2016-108637"/>
    <x v="345"/>
    <d v="2016-03-18T00:00:00"/>
    <x v="1"/>
    <s v="AB-10060"/>
    <s v="Adam Bellavance"/>
    <x v="2"/>
    <s v="United States"/>
    <x v="61"/>
    <x v="25"/>
    <x v="0"/>
    <s v="FUR-FU-10004864"/>
    <s v="Furniture"/>
    <x v="3"/>
    <s v="Howard Miller 14-1/2&quot; Diameter Chrome Round Wall Clock"/>
    <n v="127.88"/>
    <n v="2"/>
    <n v="40.921599999999998"/>
    <x v="2"/>
    <x v="9"/>
  </r>
  <r>
    <s v="CA-2014-102295"/>
    <x v="168"/>
    <d v="2014-11-26T00:00:00"/>
    <x v="0"/>
    <s v="EH-13990"/>
    <s v="Erica Hackney"/>
    <x v="0"/>
    <s v="United States"/>
    <x v="155"/>
    <x v="2"/>
    <x v="1"/>
    <s v="FUR-CH-10001714"/>
    <s v="Furniture"/>
    <x v="1"/>
    <s v="Global Leather &amp; Oak Executive Chair, Burgundy"/>
    <n v="120.712"/>
    <n v="1"/>
    <n v="-18.1068"/>
    <x v="3"/>
    <x v="0"/>
  </r>
  <r>
    <s v="US-2016-129469"/>
    <x v="348"/>
    <d v="2016-09-27T00:00:00"/>
    <x v="1"/>
    <s v="KL-16555"/>
    <s v="Kelly Lampkin"/>
    <x v="1"/>
    <s v="United States"/>
    <x v="130"/>
    <x v="15"/>
    <x v="2"/>
    <s v="FUR-FU-10002298"/>
    <s v="Furniture"/>
    <x v="3"/>
    <s v="Rubbermaid ClusterMat Chairmats, Mat Size- 66&quot; x 60&quot;, Lip 20&quot; x 11&quot; -90 Degree Angle"/>
    <n v="532.70399999999995"/>
    <n v="6"/>
    <n v="-26.635200000000001"/>
    <x v="4"/>
    <x v="4"/>
  </r>
  <r>
    <s v="CA-2016-159940"/>
    <x v="281"/>
    <d v="2016-07-11T00:00:00"/>
    <x v="0"/>
    <s v="BF-11020"/>
    <s v="Barry Franzšsisch"/>
    <x v="1"/>
    <s v="United States"/>
    <x v="14"/>
    <x v="8"/>
    <x v="3"/>
    <s v="FUR-FU-10004973"/>
    <s v="Furniture"/>
    <x v="3"/>
    <s v="Flat Face Poster Frame"/>
    <n v="60.287999999999997"/>
    <n v="8"/>
    <n v="-27.1296"/>
    <x v="4"/>
    <x v="3"/>
  </r>
  <r>
    <s v="CA-2016-159940"/>
    <x v="281"/>
    <d v="2016-07-11T00:00:00"/>
    <x v="0"/>
    <s v="BF-11020"/>
    <s v="Barry Franzšsisch"/>
    <x v="1"/>
    <s v="United States"/>
    <x v="14"/>
    <x v="8"/>
    <x v="3"/>
    <s v="FUR-CH-10000785"/>
    <s v="Furniture"/>
    <x v="1"/>
    <s v="Global Ergonomic Managers Chair"/>
    <n v="253.37200000000001"/>
    <n v="2"/>
    <n v="-14.478400000000001"/>
    <x v="4"/>
    <x v="3"/>
  </r>
  <r>
    <s v="CA-2016-118052"/>
    <x v="349"/>
    <d v="2016-05-10T00:00:00"/>
    <x v="1"/>
    <s v="BE-11455"/>
    <s v="Brad Eason"/>
    <x v="2"/>
    <s v="United States"/>
    <x v="75"/>
    <x v="15"/>
    <x v="2"/>
    <s v="FUR-FU-10004848"/>
    <s v="Furniture"/>
    <x v="3"/>
    <s v="DAX Solid Wood Frames"/>
    <n v="54.712000000000003"/>
    <n v="7"/>
    <n v="11.626300000000001"/>
    <x v="4"/>
    <x v="7"/>
  </r>
  <r>
    <s v="US-2015-127040"/>
    <x v="248"/>
    <d v="2015-12-10T00:00:00"/>
    <x v="1"/>
    <s v="SG-20605"/>
    <s v="Speros Goranitis"/>
    <x v="0"/>
    <s v="United States"/>
    <x v="13"/>
    <x v="7"/>
    <x v="2"/>
    <s v="FUR-FU-10002878"/>
    <s v="Furniture"/>
    <x v="3"/>
    <s v="Seth Thomas 14&quot; Day/Date Wall Clock"/>
    <n v="113.92"/>
    <n v="4"/>
    <n v="42.150399999999998"/>
    <x v="4"/>
    <x v="5"/>
  </r>
  <r>
    <s v="US-2016-110170"/>
    <x v="350"/>
    <d v="2016-10-03T00:00:00"/>
    <x v="1"/>
    <s v="HM-14860"/>
    <s v="Harry Marie"/>
    <x v="1"/>
    <s v="United States"/>
    <x v="156"/>
    <x v="5"/>
    <x v="3"/>
    <s v="FUR-BO-10000780"/>
    <s v="Furniture"/>
    <x v="0"/>
    <s v="O'Sullivan Plantations 2-Door Library in Landvery Oak"/>
    <n v="956.66480000000001"/>
    <n v="7"/>
    <n v="-225.0976"/>
    <x v="6"/>
    <x v="4"/>
  </r>
  <r>
    <s v="CA-2017-155985"/>
    <x v="351"/>
    <d v="2017-03-25T00:00:00"/>
    <x v="2"/>
    <s v="BE-11335"/>
    <s v="Bill Eplett"/>
    <x v="2"/>
    <s v="United States"/>
    <x v="28"/>
    <x v="2"/>
    <x v="1"/>
    <s v="FUR-FU-10000758"/>
    <s v="Furniture"/>
    <x v="3"/>
    <s v="DAX Natural Wood-Tone Poster Frame"/>
    <n v="211.84"/>
    <n v="8"/>
    <n v="76.2624"/>
    <x v="3"/>
    <x v="9"/>
  </r>
  <r>
    <s v="CA-2014-151295"/>
    <x v="352"/>
    <d v="2014-11-16T00:00:00"/>
    <x v="1"/>
    <s v="JA-15970"/>
    <s v="Joseph Airdo"/>
    <x v="0"/>
    <s v="United States"/>
    <x v="2"/>
    <x v="2"/>
    <x v="1"/>
    <s v="FUR-TA-10002356"/>
    <s v="Furniture"/>
    <x v="2"/>
    <s v="Bevis Boat-Shaped Conference Table"/>
    <n v="629.06399999999996"/>
    <n v="3"/>
    <n v="31.453199999999999"/>
    <x v="4"/>
    <x v="0"/>
  </r>
  <r>
    <s v="CA-2016-156300"/>
    <x v="353"/>
    <d v="2017-01-02T00:00:00"/>
    <x v="1"/>
    <s v="TB-21595"/>
    <s v="Troy Blackwell"/>
    <x v="0"/>
    <s v="United States"/>
    <x v="79"/>
    <x v="16"/>
    <x v="3"/>
    <s v="FUR-CH-10001714"/>
    <s v="Furniture"/>
    <x v="1"/>
    <s v="Global Leather &amp; Oak Executive Chair, Burgundy"/>
    <n v="754.45"/>
    <n v="5"/>
    <n v="60.356000000000002"/>
    <x v="4"/>
    <x v="5"/>
  </r>
  <r>
    <s v="CA-2015-146087"/>
    <x v="171"/>
    <d v="2015-07-11T00:00:00"/>
    <x v="1"/>
    <s v="PP-18955"/>
    <s v="Paul Prost"/>
    <x v="2"/>
    <s v="United States"/>
    <x v="157"/>
    <x v="20"/>
    <x v="2"/>
    <s v="FUR-BO-10002824"/>
    <s v="Furniture"/>
    <x v="0"/>
    <s v="Bush Mission Pointe Library"/>
    <n v="301.95999999999998"/>
    <n v="2"/>
    <n v="60.392000000000003"/>
    <x v="2"/>
    <x v="3"/>
  </r>
  <r>
    <s v="US-2017-147669"/>
    <x v="19"/>
    <d v="2017-12-30T00:00:00"/>
    <x v="1"/>
    <s v="SV-20935"/>
    <s v="Susan Vittorini"/>
    <x v="0"/>
    <s v="United States"/>
    <x v="130"/>
    <x v="15"/>
    <x v="2"/>
    <s v="FUR-TA-10002645"/>
    <s v="Furniture"/>
    <x v="2"/>
    <s v="Hon Rectangular Conference Tables"/>
    <n v="273.06"/>
    <n v="2"/>
    <n v="-104.673"/>
    <x v="2"/>
    <x v="5"/>
  </r>
  <r>
    <s v="CA-2016-169922"/>
    <x v="354"/>
    <d v="2016-06-17T00:00:00"/>
    <x v="1"/>
    <s v="MZ-17515"/>
    <s v="Mary Zewe"/>
    <x v="1"/>
    <s v="United States"/>
    <x v="58"/>
    <x v="5"/>
    <x v="3"/>
    <s v="FUR-FU-10004415"/>
    <s v="Furniture"/>
    <x v="3"/>
    <s v="Stacking Tray, Side-Loading, Legal, Smoke"/>
    <n v="12.544"/>
    <n v="7"/>
    <n v="-9.0944000000000003"/>
    <x v="6"/>
    <x v="2"/>
  </r>
  <r>
    <s v="CA-2017-129805"/>
    <x v="158"/>
    <d v="2018-01-02T00:00:00"/>
    <x v="1"/>
    <s v="HM-14860"/>
    <s v="Harry Marie"/>
    <x v="1"/>
    <s v="United States"/>
    <x v="15"/>
    <x v="13"/>
    <x v="1"/>
    <s v="FUR-FU-10001935"/>
    <s v="Furniture"/>
    <x v="3"/>
    <s v="3M Hangers With Command Adhesive"/>
    <n v="7.4"/>
    <n v="2"/>
    <n v="3.0339999999999998"/>
    <x v="2"/>
    <x v="5"/>
  </r>
  <r>
    <s v="CA-2014-148586"/>
    <x v="355"/>
    <d v="2014-04-01T00:00:00"/>
    <x v="1"/>
    <s v="AZ-10750"/>
    <s v="Annie Zypern"/>
    <x v="0"/>
    <s v="United States"/>
    <x v="13"/>
    <x v="7"/>
    <x v="2"/>
    <s v="FUR-CH-10002439"/>
    <s v="Furniture"/>
    <x v="1"/>
    <s v="Iceberg Nesting Folding Chair, 19w x 6d x 43h"/>
    <n v="366.786"/>
    <n v="7"/>
    <n v="65.206400000000002"/>
    <x v="1"/>
    <x v="9"/>
  </r>
  <r>
    <s v="CA-2017-140053"/>
    <x v="209"/>
    <d v="2017-07-10T00:00:00"/>
    <x v="1"/>
    <s v="CA-12265"/>
    <s v="Christina Anderson"/>
    <x v="0"/>
    <s v="United States"/>
    <x v="158"/>
    <x v="41"/>
    <x v="1"/>
    <s v="FUR-FU-10003708"/>
    <s v="Furniture"/>
    <x v="3"/>
    <s v="Tenex Traditional Chairmats for Medium Pile Carpet, Standard Lip, 36&quot; x 48&quot;"/>
    <n v="545.85"/>
    <n v="9"/>
    <n v="114.6285"/>
    <x v="1"/>
    <x v="3"/>
  </r>
  <r>
    <s v="CA-2014-164210"/>
    <x v="356"/>
    <d v="2014-11-20T00:00:00"/>
    <x v="0"/>
    <s v="PW-19240"/>
    <s v="Pierre Wener"/>
    <x v="0"/>
    <s v="United States"/>
    <x v="74"/>
    <x v="12"/>
    <x v="1"/>
    <s v="FUR-TA-10000849"/>
    <s v="Furniture"/>
    <x v="2"/>
    <s v="Bevis Rectangular Conference Tables"/>
    <n v="145.97999999999999"/>
    <n v="2"/>
    <n v="-99.266400000000004"/>
    <x v="3"/>
    <x v="0"/>
  </r>
  <r>
    <s v="CA-2017-139948"/>
    <x v="357"/>
    <d v="2017-07-22T00:00:00"/>
    <x v="1"/>
    <s v="SW-20455"/>
    <s v="Shaun Weien"/>
    <x v="0"/>
    <s v="United States"/>
    <x v="26"/>
    <x v="1"/>
    <x v="0"/>
    <s v="FUR-FU-10002597"/>
    <s v="Furniture"/>
    <x v="3"/>
    <s v="C-Line Magnetic Cubicle Keepers, Clear Polypropylene"/>
    <n v="7.9039999999999999"/>
    <n v="2"/>
    <n v="2.1736"/>
    <x v="2"/>
    <x v="3"/>
  </r>
  <r>
    <s v="CA-2016-146934"/>
    <x v="358"/>
    <d v="2016-05-27T00:00:00"/>
    <x v="1"/>
    <s v="AF-10870"/>
    <s v="Art Ferguson"/>
    <x v="0"/>
    <s v="United States"/>
    <x v="159"/>
    <x v="18"/>
    <x v="2"/>
    <s v="FUR-TA-10003748"/>
    <s v="Furniture"/>
    <x v="2"/>
    <s v="Bevis 36 x 72 Conference Tables"/>
    <n v="174.286"/>
    <n v="2"/>
    <n v="-19.918399999999998"/>
    <x v="2"/>
    <x v="7"/>
  </r>
  <r>
    <s v="CA-2016-119165"/>
    <x v="359"/>
    <d v="2016-11-06T00:00:00"/>
    <x v="1"/>
    <s v="BD-11320"/>
    <s v="Bill Donatelli"/>
    <x v="0"/>
    <s v="United States"/>
    <x v="3"/>
    <x v="3"/>
    <x v="2"/>
    <s v="FUR-CH-10000988"/>
    <s v="Furniture"/>
    <x v="1"/>
    <s v="Hon Olson Stacker Stools"/>
    <n v="492.83499999999998"/>
    <n v="5"/>
    <n v="-14.081"/>
    <x v="6"/>
    <x v="1"/>
  </r>
  <r>
    <s v="US-2016-135923"/>
    <x v="360"/>
    <d v="2016-01-28T00:00:00"/>
    <x v="1"/>
    <s v="CM-11935"/>
    <s v="Carlos Meador"/>
    <x v="0"/>
    <s v="United States"/>
    <x v="160"/>
    <x v="30"/>
    <x v="0"/>
    <s v="FUR-FU-10002107"/>
    <s v="Furniture"/>
    <x v="3"/>
    <s v="Eldon Pizzaz Desk Accessories"/>
    <n v="14.272"/>
    <n v="8"/>
    <n v="4.2816000000000001"/>
    <x v="6"/>
    <x v="8"/>
  </r>
  <r>
    <s v="US-2016-135923"/>
    <x v="360"/>
    <d v="2016-01-28T00:00:00"/>
    <x v="1"/>
    <s v="CM-11935"/>
    <s v="Carlos Meador"/>
    <x v="0"/>
    <s v="United States"/>
    <x v="160"/>
    <x v="30"/>
    <x v="0"/>
    <s v="FUR-BO-10002213"/>
    <s v="Furniture"/>
    <x v="0"/>
    <s v="Sauder Forest Hills Library, Woodland Oak Finish"/>
    <n v="451.13600000000002"/>
    <n v="4"/>
    <n v="-67.670400000000001"/>
    <x v="6"/>
    <x v="8"/>
  </r>
  <r>
    <s v="CA-2016-114972"/>
    <x v="361"/>
    <d v="2016-11-06T00:00:00"/>
    <x v="2"/>
    <s v="PF-19225"/>
    <s v="Phillip Flathmann"/>
    <x v="0"/>
    <s v="United States"/>
    <x v="2"/>
    <x v="2"/>
    <x v="1"/>
    <s v="FUR-CH-10001190"/>
    <s v="Furniture"/>
    <x v="1"/>
    <s v="Global Deluxe High-Back Office Chair in Storm"/>
    <n v="217.584"/>
    <n v="2"/>
    <n v="-29.9178"/>
    <x v="0"/>
    <x v="0"/>
  </r>
  <r>
    <s v="CA-2017-102750"/>
    <x v="362"/>
    <d v="2017-09-08T00:00:00"/>
    <x v="0"/>
    <s v="GM-14695"/>
    <s v="Greg Maxwell"/>
    <x v="1"/>
    <s v="United States"/>
    <x v="2"/>
    <x v="2"/>
    <x v="1"/>
    <s v="FUR-TA-10000198"/>
    <s v="Furniture"/>
    <x v="2"/>
    <s v="Chromcraft Bull-Nose Wood Oval Conference Tables &amp; Bases"/>
    <n v="1322.3520000000001"/>
    <n v="3"/>
    <n v="-99.176400000000001"/>
    <x v="4"/>
    <x v="4"/>
  </r>
  <r>
    <s v="CA-2017-126067"/>
    <x v="363"/>
    <d v="2017-09-03T00:00:00"/>
    <x v="1"/>
    <s v="KN-16705"/>
    <s v="Kristina Nunn"/>
    <x v="2"/>
    <s v="United States"/>
    <x v="15"/>
    <x v="13"/>
    <x v="1"/>
    <s v="FUR-TA-10000617"/>
    <s v="Furniture"/>
    <x v="2"/>
    <s v="Hon Practical Foundations 30 x 60 Training Table, Light Gray/Charcoal"/>
    <n v="1137.75"/>
    <n v="5"/>
    <n v="250.30500000000001"/>
    <x v="6"/>
    <x v="10"/>
  </r>
  <r>
    <s v="CA-2016-146206"/>
    <x v="364"/>
    <d v="2016-09-14T00:00:00"/>
    <x v="0"/>
    <s v="KT-16480"/>
    <s v="Kean Thornton"/>
    <x v="0"/>
    <s v="United States"/>
    <x v="6"/>
    <x v="5"/>
    <x v="3"/>
    <s v="FUR-TA-10004086"/>
    <s v="Furniture"/>
    <x v="2"/>
    <s v="KI Adjustable-Height Table"/>
    <n v="300.93"/>
    <n v="5"/>
    <n v="-34.392000000000003"/>
    <x v="4"/>
    <x v="4"/>
  </r>
  <r>
    <s v="CA-2014-136644"/>
    <x v="365"/>
    <d v="2014-06-22T00:00:00"/>
    <x v="1"/>
    <s v="SC-20575"/>
    <s v="Sonia Cooley"/>
    <x v="0"/>
    <s v="United States"/>
    <x v="161"/>
    <x v="6"/>
    <x v="3"/>
    <s v="FUR-CH-10000225"/>
    <s v="Furniture"/>
    <x v="1"/>
    <s v="Global Geo Office Task Chair, Gray"/>
    <n v="647.84"/>
    <n v="8"/>
    <n v="32.392000000000003"/>
    <x v="6"/>
    <x v="2"/>
  </r>
  <r>
    <s v="CA-2014-143917"/>
    <x v="366"/>
    <d v="2014-07-27T00:00:00"/>
    <x v="0"/>
    <s v="KL-16645"/>
    <s v="Ken Lonsdale"/>
    <x v="0"/>
    <s v="United States"/>
    <x v="28"/>
    <x v="2"/>
    <x v="1"/>
    <s v="FUR-FU-10004351"/>
    <s v="Furniture"/>
    <x v="3"/>
    <s v="Staple-based wall hangings"/>
    <n v="77.92"/>
    <n v="8"/>
    <n v="34.284799999999997"/>
    <x v="3"/>
    <x v="3"/>
  </r>
  <r>
    <s v="CA-2016-124506"/>
    <x v="367"/>
    <d v="2016-11-17T00:00:00"/>
    <x v="1"/>
    <s v="BB-11545"/>
    <s v="Brenda Bowman"/>
    <x v="1"/>
    <s v="United States"/>
    <x v="9"/>
    <x v="8"/>
    <x v="3"/>
    <s v="FUR-CH-10004540"/>
    <s v="Furniture"/>
    <x v="1"/>
    <s v="Global Chrome Stack Chair"/>
    <n v="47.991999999999997"/>
    <n v="2"/>
    <n v="-2.0568"/>
    <x v="6"/>
    <x v="0"/>
  </r>
  <r>
    <s v="CA-2017-123134"/>
    <x v="368"/>
    <d v="2017-05-07T00:00:00"/>
    <x v="1"/>
    <s v="DW-13585"/>
    <s v="Dorothy Wardle"/>
    <x v="1"/>
    <s v="United States"/>
    <x v="162"/>
    <x v="18"/>
    <x v="2"/>
    <s v="FUR-FU-10003975"/>
    <s v="Furniture"/>
    <x v="3"/>
    <s v="Eldon Advantage Chair Mats for Low to Medium Pile Carpets"/>
    <n v="129.93"/>
    <n v="3"/>
    <n v="12.993"/>
    <x v="2"/>
    <x v="7"/>
  </r>
  <r>
    <s v="CA-2015-168746"/>
    <x v="369"/>
    <d v="2015-01-29T00:00:00"/>
    <x v="0"/>
    <s v="SV-20365"/>
    <s v="Seth Vernon"/>
    <x v="0"/>
    <s v="United States"/>
    <x v="59"/>
    <x v="15"/>
    <x v="2"/>
    <s v="FUR-CH-10000513"/>
    <s v="Furniture"/>
    <x v="1"/>
    <s v="High-Back Leather Manager's Chair"/>
    <n v="181.98599999999999"/>
    <n v="2"/>
    <n v="-54.595799999999997"/>
    <x v="3"/>
    <x v="8"/>
  </r>
  <r>
    <s v="CA-2015-113404"/>
    <x v="370"/>
    <d v="2015-07-16T00:00:00"/>
    <x v="3"/>
    <s v="EM-13810"/>
    <s v="Eleni McCrary"/>
    <x v="1"/>
    <s v="United States"/>
    <x v="28"/>
    <x v="2"/>
    <x v="1"/>
    <s v="FUR-CH-10003312"/>
    <s v="Furniture"/>
    <x v="1"/>
    <s v="Hon 2090 ÒPillow SoftÓ Series Mid Back Swivel/Tilt Chairs"/>
    <n v="1348.704"/>
    <n v="6"/>
    <n v="-219.1644"/>
    <x v="7"/>
    <x v="3"/>
  </r>
  <r>
    <s v="CA-2015-113404"/>
    <x v="370"/>
    <d v="2015-07-16T00:00:00"/>
    <x v="3"/>
    <s v="EM-13810"/>
    <s v="Eleni McCrary"/>
    <x v="1"/>
    <s v="United States"/>
    <x v="28"/>
    <x v="2"/>
    <x v="1"/>
    <s v="FUR-CH-10004086"/>
    <s v="Furniture"/>
    <x v="1"/>
    <s v="Hon 4070 Series Pagoda Armless Upholstered Stacking Chairs"/>
    <n v="700.15200000000004"/>
    <n v="3"/>
    <n v="78.767099999999999"/>
    <x v="7"/>
    <x v="3"/>
  </r>
  <r>
    <s v="CA-2016-144792"/>
    <x v="325"/>
    <d v="2016-05-04T00:00:00"/>
    <x v="1"/>
    <s v="KD-16615"/>
    <s v="Ken Dana"/>
    <x v="1"/>
    <s v="United States"/>
    <x v="163"/>
    <x v="22"/>
    <x v="1"/>
    <s v="FUR-FU-10002759"/>
    <s v="Furniture"/>
    <x v="3"/>
    <s v="12-1/2 Diameter Round Wall Clock"/>
    <n v="111.88800000000001"/>
    <n v="7"/>
    <n v="22.377600000000001"/>
    <x v="4"/>
    <x v="6"/>
  </r>
  <r>
    <s v="US-2016-114174"/>
    <x v="63"/>
    <d v="2016-09-14T00:00:00"/>
    <x v="1"/>
    <s v="AP-10720"/>
    <s v="Anne Pryor"/>
    <x v="2"/>
    <s v="United States"/>
    <x v="164"/>
    <x v="20"/>
    <x v="2"/>
    <s v="FUR-BO-10003450"/>
    <s v="Furniture"/>
    <x v="0"/>
    <s v="Bush Westfield Collection Bookcases, Dark Cherry Finish"/>
    <n v="173.94"/>
    <n v="3"/>
    <n v="13.9152"/>
    <x v="6"/>
    <x v="4"/>
  </r>
  <r>
    <s v="CA-2017-108070"/>
    <x v="371"/>
    <d v="2017-04-20T00:00:00"/>
    <x v="1"/>
    <s v="JE-15745"/>
    <s v="Joel Eaton"/>
    <x v="0"/>
    <s v="United States"/>
    <x v="124"/>
    <x v="2"/>
    <x v="1"/>
    <s v="FUR-BO-10001337"/>
    <s v="Furniture"/>
    <x v="0"/>
    <s v="O'Sullivan Living Dimensions 2-Shelf Bookcases"/>
    <n v="102.833"/>
    <n v="1"/>
    <n v="-6.0490000000000004"/>
    <x v="4"/>
    <x v="6"/>
  </r>
  <r>
    <s v="CA-2017-101042"/>
    <x v="49"/>
    <d v="2017-11-23T00:00:00"/>
    <x v="1"/>
    <s v="AB-10105"/>
    <s v="Adrian Barton"/>
    <x v="0"/>
    <s v="United States"/>
    <x v="0"/>
    <x v="0"/>
    <x v="0"/>
    <s v="FUR-FU-10004665"/>
    <s v="Furniture"/>
    <x v="3"/>
    <s v="3M Polarizing Task Lamp with Clamp Arm, Light Gray"/>
    <n v="821.88"/>
    <n v="6"/>
    <n v="213.68879999999999"/>
    <x v="4"/>
    <x v="0"/>
  </r>
  <r>
    <s v="US-2016-126844"/>
    <x v="372"/>
    <d v="2016-10-14T00:00:00"/>
    <x v="1"/>
    <s v="BW-11110"/>
    <s v="Bart Watters"/>
    <x v="1"/>
    <s v="United States"/>
    <x v="6"/>
    <x v="5"/>
    <x v="3"/>
    <s v="FUR-FU-10004909"/>
    <s v="Furniture"/>
    <x v="3"/>
    <s v="Contemporary Wood/Metal Frame"/>
    <n v="51.712000000000003"/>
    <n v="8"/>
    <n v="-32.32"/>
    <x v="6"/>
    <x v="1"/>
  </r>
  <r>
    <s v="CA-2015-147788"/>
    <x v="151"/>
    <d v="2015-06-04T00:00:00"/>
    <x v="1"/>
    <s v="TM-21010"/>
    <s v="Tamara Manning"/>
    <x v="0"/>
    <s v="United States"/>
    <x v="4"/>
    <x v="4"/>
    <x v="1"/>
    <s v="FUR-BO-10004357"/>
    <s v="Furniture"/>
    <x v="0"/>
    <s v="O'Sullivan Living Dimensions 3-Shelf Bookcases"/>
    <n v="1406.86"/>
    <n v="7"/>
    <n v="140.68600000000001"/>
    <x v="4"/>
    <x v="7"/>
  </r>
  <r>
    <s v="CA-2017-123967"/>
    <x v="373"/>
    <d v="2017-11-03T00:00:00"/>
    <x v="0"/>
    <s v="SF-20200"/>
    <s v="Sarah Foster"/>
    <x v="0"/>
    <s v="United States"/>
    <x v="165"/>
    <x v="13"/>
    <x v="1"/>
    <s v="FUR-TA-10003954"/>
    <s v="Furniture"/>
    <x v="2"/>
    <s v="Hon 94000 Series Round Tables"/>
    <n v="2665.62"/>
    <n v="9"/>
    <n v="239.9058"/>
    <x v="3"/>
    <x v="0"/>
  </r>
  <r>
    <s v="CA-2017-145128"/>
    <x v="374"/>
    <d v="2017-07-14T00:00:00"/>
    <x v="1"/>
    <s v="SM-20320"/>
    <s v="Sean Miller"/>
    <x v="2"/>
    <s v="United States"/>
    <x v="120"/>
    <x v="6"/>
    <x v="3"/>
    <s v="FUR-FU-10000293"/>
    <s v="Furniture"/>
    <x v="3"/>
    <s v="Eldon Antistatic Chair Mats for Low to Medium Pile Carpets"/>
    <n v="526.45000000000005"/>
    <n v="5"/>
    <n v="31.587"/>
    <x v="2"/>
    <x v="3"/>
  </r>
  <r>
    <s v="US-2014-155502"/>
    <x v="375"/>
    <d v="2014-01-31T00:00:00"/>
    <x v="1"/>
    <s v="SD-20485"/>
    <s v="Shirley Daniels"/>
    <x v="2"/>
    <s v="United States"/>
    <x v="166"/>
    <x v="25"/>
    <x v="0"/>
    <s v="FUR-FU-10004587"/>
    <s v="Furniture"/>
    <x v="3"/>
    <s v="GE General Use Halogen Bulbs, 100 Watts, 1 Bulb per Pack"/>
    <n v="62.82"/>
    <n v="3"/>
    <n v="30.7818"/>
    <x v="2"/>
    <x v="8"/>
  </r>
  <r>
    <s v="US-2014-155502"/>
    <x v="375"/>
    <d v="2014-01-31T00:00:00"/>
    <x v="1"/>
    <s v="SD-20485"/>
    <s v="Shirley Daniels"/>
    <x v="2"/>
    <s v="United States"/>
    <x v="166"/>
    <x v="25"/>
    <x v="0"/>
    <s v="FUR-FU-10001847"/>
    <s v="Furniture"/>
    <x v="3"/>
    <s v="Eldon Image Series Black Desk Accessories"/>
    <n v="12.42"/>
    <n v="3"/>
    <n v="4.4711999999999996"/>
    <x v="2"/>
    <x v="8"/>
  </r>
  <r>
    <s v="CA-2017-131695"/>
    <x v="254"/>
    <d v="2017-07-06T00:00:00"/>
    <x v="1"/>
    <s v="RA-19285"/>
    <s v="Ralph Arnett"/>
    <x v="0"/>
    <s v="United States"/>
    <x v="13"/>
    <x v="7"/>
    <x v="2"/>
    <s v="FUR-FU-10002045"/>
    <s v="Furniture"/>
    <x v="3"/>
    <s v="Executive Impressions 14&quot;"/>
    <n v="22.23"/>
    <n v="1"/>
    <n v="9.7812000000000001"/>
    <x v="6"/>
    <x v="2"/>
  </r>
  <r>
    <s v="US-2016-115455"/>
    <x v="63"/>
    <d v="2016-09-14T00:00:00"/>
    <x v="1"/>
    <s v="SE-20110"/>
    <s v="Sanjit Engle"/>
    <x v="0"/>
    <s v="United States"/>
    <x v="167"/>
    <x v="8"/>
    <x v="3"/>
    <s v="FUR-FU-10004671"/>
    <s v="Furniture"/>
    <x v="3"/>
    <s v="Executive Impressions 12&quot; Wall Clock"/>
    <n v="14.135999999999999"/>
    <n v="2"/>
    <n v="-7.7747999999999999"/>
    <x v="6"/>
    <x v="4"/>
  </r>
  <r>
    <s v="US-2016-115455"/>
    <x v="63"/>
    <d v="2016-09-14T00:00:00"/>
    <x v="1"/>
    <s v="SE-20110"/>
    <s v="Sanjit Engle"/>
    <x v="0"/>
    <s v="United States"/>
    <x v="167"/>
    <x v="8"/>
    <x v="3"/>
    <s v="FUR-TA-10003569"/>
    <s v="Furniture"/>
    <x v="2"/>
    <s v="Bretford CR8500 Series Meeting Room Furniture"/>
    <n v="601.47"/>
    <n v="3"/>
    <n v="-300.73500000000001"/>
    <x v="6"/>
    <x v="4"/>
  </r>
  <r>
    <s v="CA-2016-165848"/>
    <x v="41"/>
    <d v="2016-06-04T00:00:00"/>
    <x v="3"/>
    <s v="EN-13780"/>
    <s v="Edward Nazzal"/>
    <x v="0"/>
    <s v="United States"/>
    <x v="13"/>
    <x v="7"/>
    <x v="2"/>
    <s v="FUR-BO-10000362"/>
    <s v="Furniture"/>
    <x v="0"/>
    <s v="Sauder Inglewood Library Bookcases"/>
    <n v="136.78399999999999"/>
    <n v="1"/>
    <n v="5.1294000000000004"/>
    <x v="7"/>
    <x v="2"/>
  </r>
  <r>
    <s v="CA-2016-165848"/>
    <x v="41"/>
    <d v="2016-06-04T00:00:00"/>
    <x v="3"/>
    <s v="EN-13780"/>
    <s v="Edward Nazzal"/>
    <x v="0"/>
    <s v="United States"/>
    <x v="13"/>
    <x v="7"/>
    <x v="2"/>
    <s v="FUR-FU-10003878"/>
    <s v="Furniture"/>
    <x v="3"/>
    <s v="Linden 10&quot; Round Wall Clock, Black"/>
    <n v="61.12"/>
    <n v="4"/>
    <n v="20.780799999999999"/>
    <x v="7"/>
    <x v="2"/>
  </r>
  <r>
    <s v="CA-2014-127446"/>
    <x v="306"/>
    <d v="2014-11-30T00:00:00"/>
    <x v="1"/>
    <s v="MC-17590"/>
    <s v="Matt Collister"/>
    <x v="1"/>
    <s v="United States"/>
    <x v="58"/>
    <x v="5"/>
    <x v="3"/>
    <s v="FUR-TA-10000577"/>
    <s v="Furniture"/>
    <x v="2"/>
    <s v="Bretford CR4500 Series Slim Rectangular Table"/>
    <n v="1218.7349999999999"/>
    <n v="5"/>
    <n v="-121.87350000000001"/>
    <x v="2"/>
    <x v="0"/>
  </r>
  <r>
    <s v="CA-2014-127446"/>
    <x v="306"/>
    <d v="2014-11-30T00:00:00"/>
    <x v="1"/>
    <s v="MC-17590"/>
    <s v="Matt Collister"/>
    <x v="1"/>
    <s v="United States"/>
    <x v="58"/>
    <x v="5"/>
    <x v="3"/>
    <s v="FUR-FU-10000221"/>
    <s v="Furniture"/>
    <x v="3"/>
    <s v="Master Caster Door Stop, Brown"/>
    <n v="6.0960000000000001"/>
    <n v="3"/>
    <n v="-3.9624000000000001"/>
    <x v="2"/>
    <x v="0"/>
  </r>
  <r>
    <s v="CA-2016-137204"/>
    <x v="376"/>
    <d v="2016-05-05T00:00:00"/>
    <x v="1"/>
    <s v="BO-11350"/>
    <s v="Bill Overfelt"/>
    <x v="1"/>
    <s v="United States"/>
    <x v="2"/>
    <x v="2"/>
    <x v="1"/>
    <s v="FUR-CH-10002304"/>
    <s v="Furniture"/>
    <x v="1"/>
    <s v="Global Stack Chair without Arms, Black"/>
    <n v="41.567999999999998"/>
    <n v="2"/>
    <n v="2.5979999999999999"/>
    <x v="1"/>
    <x v="6"/>
  </r>
  <r>
    <s v="CA-2014-147298"/>
    <x v="377"/>
    <d v="2014-05-03T00:00:00"/>
    <x v="1"/>
    <s v="AG-10300"/>
    <s v="Aleksandra Gannaway"/>
    <x v="1"/>
    <s v="United States"/>
    <x v="2"/>
    <x v="2"/>
    <x v="1"/>
    <s v="FUR-CH-10004886"/>
    <s v="Furniture"/>
    <x v="1"/>
    <s v="Bevis Steel Folding Chairs"/>
    <n v="230.28"/>
    <n v="3"/>
    <n v="23.027999999999999"/>
    <x v="1"/>
    <x v="6"/>
  </r>
  <r>
    <s v="US-2017-110604"/>
    <x v="378"/>
    <d v="2017-05-20T00:00:00"/>
    <x v="1"/>
    <s v="JF-15295"/>
    <s v="Jason Fortune-"/>
    <x v="0"/>
    <s v="United States"/>
    <x v="15"/>
    <x v="13"/>
    <x v="1"/>
    <s v="FUR-FU-10000076"/>
    <s v="Furniture"/>
    <x v="3"/>
    <s v="24-Hour Round Wall Clock"/>
    <n v="39.96"/>
    <n v="2"/>
    <n v="17.1828"/>
    <x v="2"/>
    <x v="7"/>
  </r>
  <r>
    <s v="US-2017-110604"/>
    <x v="378"/>
    <d v="2017-05-20T00:00:00"/>
    <x v="1"/>
    <s v="JF-15295"/>
    <s v="Jason Fortune-"/>
    <x v="0"/>
    <s v="United States"/>
    <x v="15"/>
    <x v="13"/>
    <x v="1"/>
    <s v="FUR-CH-10002017"/>
    <s v="Furniture"/>
    <x v="1"/>
    <s v="SAFCO Optional Arm Kit for Workspace Cribbage Stacking Chair"/>
    <n v="42.624000000000002"/>
    <n v="2"/>
    <n v="4.2624000000000004"/>
    <x v="2"/>
    <x v="7"/>
  </r>
  <r>
    <s v="US-2017-110604"/>
    <x v="378"/>
    <d v="2017-05-20T00:00:00"/>
    <x v="1"/>
    <s v="JF-15295"/>
    <s v="Jason Fortune-"/>
    <x v="0"/>
    <s v="United States"/>
    <x v="15"/>
    <x v="13"/>
    <x v="1"/>
    <s v="FUR-CH-10004287"/>
    <s v="Furniture"/>
    <x v="1"/>
    <s v="SAFCO Arco Folding Chair"/>
    <n v="220.96"/>
    <n v="1"/>
    <n v="24.858000000000001"/>
    <x v="2"/>
    <x v="7"/>
  </r>
  <r>
    <s v="CA-2015-116750"/>
    <x v="379"/>
    <d v="2015-07-10T00:00:00"/>
    <x v="0"/>
    <s v="BF-10975"/>
    <s v="Barbara Fisher"/>
    <x v="1"/>
    <s v="United States"/>
    <x v="160"/>
    <x v="30"/>
    <x v="0"/>
    <s v="FUR-FU-10003829"/>
    <s v="Furniture"/>
    <x v="3"/>
    <s v="Stackable Trays"/>
    <n v="4.9279999999999999"/>
    <n v="2"/>
    <n v="0.73919999999999997"/>
    <x v="2"/>
    <x v="3"/>
  </r>
  <r>
    <s v="CA-2017-108441"/>
    <x v="235"/>
    <d v="2017-06-18T00:00:00"/>
    <x v="1"/>
    <s v="SB-20170"/>
    <s v="Sarah Bern"/>
    <x v="0"/>
    <s v="United States"/>
    <x v="13"/>
    <x v="7"/>
    <x v="2"/>
    <s v="FUR-CH-10000595"/>
    <s v="Furniture"/>
    <x v="1"/>
    <s v="Safco Contoured Stacking Chairs"/>
    <n v="858.24"/>
    <n v="4"/>
    <n v="143.04"/>
    <x v="6"/>
    <x v="2"/>
  </r>
  <r>
    <s v="CA-2016-149111"/>
    <x v="380"/>
    <d v="2016-04-21T00:00:00"/>
    <x v="0"/>
    <s v="BF-11170"/>
    <s v="Ben Ferrer"/>
    <x v="2"/>
    <s v="United States"/>
    <x v="168"/>
    <x v="30"/>
    <x v="0"/>
    <s v="FUR-FU-10000206"/>
    <s v="Furniture"/>
    <x v="3"/>
    <s v="GE General Purpose, Extra Long Life, Showcase &amp; Floodlight Incandescent Bulbs"/>
    <n v="18.623999999999999"/>
    <n v="8"/>
    <n v="6.2855999999999996"/>
    <x v="4"/>
    <x v="6"/>
  </r>
  <r>
    <s v="CA-2014-131002"/>
    <x v="266"/>
    <d v="2014-09-12T00:00:00"/>
    <x v="0"/>
    <s v="TB-21400"/>
    <s v="Tom Boeckenhauer"/>
    <x v="0"/>
    <s v="United States"/>
    <x v="169"/>
    <x v="37"/>
    <x v="3"/>
    <s v="FUR-FU-10004270"/>
    <s v="Furniture"/>
    <x v="3"/>
    <s v="Executive Impressions 13&quot; Clairmont Wall Clock"/>
    <n v="57.69"/>
    <n v="3"/>
    <n v="23.652899999999999"/>
    <x v="2"/>
    <x v="4"/>
  </r>
  <r>
    <s v="CA-2014-131002"/>
    <x v="266"/>
    <d v="2014-09-12T00:00:00"/>
    <x v="0"/>
    <s v="TB-21400"/>
    <s v="Tom Boeckenhauer"/>
    <x v="0"/>
    <s v="United States"/>
    <x v="169"/>
    <x v="37"/>
    <x v="3"/>
    <s v="FUR-FU-10004665"/>
    <s v="Furniture"/>
    <x v="3"/>
    <s v="3M Polarizing Task Lamp with Clamp Arm, Light Gray"/>
    <n v="821.88"/>
    <n v="6"/>
    <n v="213.68879999999999"/>
    <x v="2"/>
    <x v="4"/>
  </r>
  <r>
    <s v="US-2016-146794"/>
    <x v="73"/>
    <d v="2016-10-01T00:00:00"/>
    <x v="1"/>
    <s v="SH-19975"/>
    <s v="Sally Hughsby"/>
    <x v="1"/>
    <s v="United States"/>
    <x v="170"/>
    <x v="2"/>
    <x v="1"/>
    <s v="FUR-BO-10004467"/>
    <s v="Furniture"/>
    <x v="0"/>
    <s v="Bestar Classic Bookcase"/>
    <n v="424.95749999999998"/>
    <n v="5"/>
    <n v="19.998000000000001"/>
    <x v="2"/>
    <x v="4"/>
  </r>
  <r>
    <s v="CA-2017-112515"/>
    <x v="342"/>
    <d v="2017-09-21T00:00:00"/>
    <x v="0"/>
    <s v="AS-10225"/>
    <s v="Alan Schoenberger"/>
    <x v="1"/>
    <s v="United States"/>
    <x v="106"/>
    <x v="4"/>
    <x v="1"/>
    <s v="FUR-BO-10003404"/>
    <s v="Furniture"/>
    <x v="0"/>
    <s v="Global Adaptabilites Bookcase, Cherry/Storm Gray Finish"/>
    <n v="1292.94"/>
    <n v="3"/>
    <n v="77.576400000000007"/>
    <x v="4"/>
    <x v="4"/>
  </r>
  <r>
    <s v="CA-2015-135538"/>
    <x v="37"/>
    <d v="2015-12-28T00:00:00"/>
    <x v="1"/>
    <s v="HR-14830"/>
    <s v="Harold Ryan"/>
    <x v="1"/>
    <s v="United States"/>
    <x v="171"/>
    <x v="22"/>
    <x v="1"/>
    <s v="FUR-CH-10004287"/>
    <s v="Furniture"/>
    <x v="1"/>
    <s v="SAFCO Arco Folding Chair"/>
    <n v="883.84"/>
    <n v="4"/>
    <n v="99.432000000000002"/>
    <x v="4"/>
    <x v="5"/>
  </r>
  <r>
    <s v="CA-2016-164784"/>
    <x v="381"/>
    <d v="2016-05-04T00:00:00"/>
    <x v="2"/>
    <s v="HF-14995"/>
    <s v="Herbert Flentye"/>
    <x v="0"/>
    <s v="United States"/>
    <x v="10"/>
    <x v="9"/>
    <x v="0"/>
    <s v="FUR-TA-10004534"/>
    <s v="Furniture"/>
    <x v="2"/>
    <s v="Bevis 44 x 96 Conference Tables"/>
    <n v="370.62"/>
    <n v="3"/>
    <n v="-142.071"/>
    <x v="0"/>
    <x v="7"/>
  </r>
  <r>
    <s v="US-2015-139759"/>
    <x v="382"/>
    <d v="2015-08-30T00:00:00"/>
    <x v="1"/>
    <s v="NL-18310"/>
    <s v="Nancy Lomonaco"/>
    <x v="2"/>
    <s v="United States"/>
    <x v="2"/>
    <x v="2"/>
    <x v="1"/>
    <s v="FUR-CH-10002774"/>
    <s v="Furniture"/>
    <x v="1"/>
    <s v="Global Deluxe Stacking Chair, Gray"/>
    <n v="40.783999999999999"/>
    <n v="1"/>
    <n v="4.5881999999999996"/>
    <x v="2"/>
    <x v="10"/>
  </r>
  <r>
    <s v="CA-2014-126403"/>
    <x v="383"/>
    <d v="2014-09-12T00:00:00"/>
    <x v="0"/>
    <s v="RR-19525"/>
    <s v="Rick Reed"/>
    <x v="1"/>
    <s v="United States"/>
    <x v="172"/>
    <x v="20"/>
    <x v="2"/>
    <s v="FUR-CH-10003761"/>
    <s v="Furniture"/>
    <x v="1"/>
    <s v="Global Italian Leather Office Chair"/>
    <n v="785.88"/>
    <n v="6"/>
    <n v="212.1876"/>
    <x v="0"/>
    <x v="4"/>
  </r>
  <r>
    <s v="CA-2016-138079"/>
    <x v="360"/>
    <d v="2016-01-28T00:00:00"/>
    <x v="1"/>
    <s v="AJ-10795"/>
    <s v="Anthony Johnson"/>
    <x v="1"/>
    <s v="United States"/>
    <x v="15"/>
    <x v="13"/>
    <x v="1"/>
    <s v="FUR-FU-10001475"/>
    <s v="Furniture"/>
    <x v="3"/>
    <s v="Contract Clock, 14&quot;, Brown"/>
    <n v="109.9"/>
    <n v="5"/>
    <n v="37.366"/>
    <x v="6"/>
    <x v="8"/>
  </r>
  <r>
    <s v="CA-2014-143182"/>
    <x v="384"/>
    <d v="2014-10-20T00:00:00"/>
    <x v="1"/>
    <s v="DL-12865"/>
    <s v="Dan Lawera"/>
    <x v="0"/>
    <s v="United States"/>
    <x v="173"/>
    <x v="1"/>
    <x v="0"/>
    <s v="FUR-FU-10004270"/>
    <s v="Furniture"/>
    <x v="3"/>
    <s v="Executive Impressions 13&quot; Clairmont Wall Clock"/>
    <n v="15.384"/>
    <n v="1"/>
    <n v="4.0382999999999996"/>
    <x v="2"/>
    <x v="1"/>
  </r>
  <r>
    <s v="CA-2014-145317"/>
    <x v="385"/>
    <d v="2014-03-23T00:00:00"/>
    <x v="1"/>
    <s v="SM-20320"/>
    <s v="Sean Miller"/>
    <x v="2"/>
    <s v="United States"/>
    <x v="51"/>
    <x v="1"/>
    <x v="0"/>
    <s v="FUR-FU-10004270"/>
    <s v="Furniture"/>
    <x v="3"/>
    <s v="Executive Impressions 13&quot; Clairmont Wall Clock"/>
    <n v="30.768000000000001"/>
    <n v="2"/>
    <n v="8.0765999999999991"/>
    <x v="2"/>
    <x v="9"/>
  </r>
  <r>
    <s v="CA-2014-145317"/>
    <x v="385"/>
    <d v="2014-03-23T00:00:00"/>
    <x v="1"/>
    <s v="SM-20320"/>
    <s v="Sean Miller"/>
    <x v="2"/>
    <s v="United States"/>
    <x v="51"/>
    <x v="1"/>
    <x v="0"/>
    <s v="FUR-FU-10001986"/>
    <s v="Furniture"/>
    <x v="3"/>
    <s v="Dana Fluorescent Magnifying Lamp, White, 36&quot;"/>
    <n v="122.352"/>
    <n v="3"/>
    <n v="15.294"/>
    <x v="2"/>
    <x v="9"/>
  </r>
  <r>
    <s v="CA-2015-121797"/>
    <x v="386"/>
    <d v="2015-02-06T00:00:00"/>
    <x v="1"/>
    <s v="CC-12145"/>
    <s v="Charles Crestani"/>
    <x v="0"/>
    <s v="United States"/>
    <x v="2"/>
    <x v="2"/>
    <x v="1"/>
    <s v="FUR-FU-10001876"/>
    <s v="Furniture"/>
    <x v="3"/>
    <s v="Computer Room Manger, 14&quot;"/>
    <n v="227.36"/>
    <n v="7"/>
    <n v="81.849599999999995"/>
    <x v="1"/>
    <x v="8"/>
  </r>
  <r>
    <s v="CA-2017-132430"/>
    <x v="224"/>
    <d v="2017-10-11T00:00:00"/>
    <x v="2"/>
    <s v="CP-12085"/>
    <s v="Cathy Prescott"/>
    <x v="1"/>
    <s v="United States"/>
    <x v="174"/>
    <x v="15"/>
    <x v="2"/>
    <s v="FUR-FU-10003577"/>
    <s v="Furniture"/>
    <x v="3"/>
    <s v="Nu-Dell Leatherette Frames"/>
    <n v="45.887999999999998"/>
    <n v="4"/>
    <n v="9.1776"/>
    <x v="3"/>
    <x v="1"/>
  </r>
  <r>
    <s v="CA-2014-110030"/>
    <x v="387"/>
    <d v="2014-12-08T00:00:00"/>
    <x v="0"/>
    <s v="LF-17185"/>
    <s v="Luke Foster"/>
    <x v="0"/>
    <s v="United States"/>
    <x v="6"/>
    <x v="5"/>
    <x v="3"/>
    <s v="FUR-FU-10002759"/>
    <s v="Furniture"/>
    <x v="3"/>
    <s v="12-1/2 Diameter Round Wall Clock"/>
    <n v="23.975999999999999"/>
    <n v="3"/>
    <n v="-14.3856"/>
    <x v="3"/>
    <x v="5"/>
  </r>
  <r>
    <s v="CA-2017-149888"/>
    <x v="388"/>
    <d v="2017-11-13T00:00:00"/>
    <x v="1"/>
    <s v="EP-13915"/>
    <s v="Emily Phan"/>
    <x v="0"/>
    <s v="United States"/>
    <x v="3"/>
    <x v="3"/>
    <x v="2"/>
    <s v="FUR-TA-10000849"/>
    <s v="Furniture"/>
    <x v="2"/>
    <s v="Bevis Rectangular Conference Tables"/>
    <n v="350.35199999999998"/>
    <n v="4"/>
    <n v="-140.14080000000001"/>
    <x v="6"/>
    <x v="0"/>
  </r>
  <r>
    <s v="CA-2017-104801"/>
    <x v="389"/>
    <d v="2017-02-19T00:00:00"/>
    <x v="1"/>
    <s v="FH-14350"/>
    <s v="Fred Harton"/>
    <x v="0"/>
    <s v="United States"/>
    <x v="15"/>
    <x v="13"/>
    <x v="1"/>
    <s v="FUR-FU-10004017"/>
    <s v="Furniture"/>
    <x v="3"/>
    <s v="Tenex Contemporary Contur Chairmats for Low and Medium Pile Carpet, Computer, 39&quot; x 49&quot;"/>
    <n v="107.53"/>
    <n v="1"/>
    <n v="21.506"/>
    <x v="6"/>
    <x v="11"/>
  </r>
  <r>
    <s v="CA-2015-115798"/>
    <x v="18"/>
    <d v="2015-11-19T00:00:00"/>
    <x v="1"/>
    <s v="KL-16645"/>
    <s v="Ken Lonsdale"/>
    <x v="0"/>
    <s v="United States"/>
    <x v="19"/>
    <x v="14"/>
    <x v="2"/>
    <s v="FUR-BO-10004467"/>
    <s v="Furniture"/>
    <x v="0"/>
    <s v="Bestar Classic Bookcase"/>
    <n v="299.97000000000003"/>
    <n v="3"/>
    <n v="56.994300000000003"/>
    <x v="6"/>
    <x v="0"/>
  </r>
  <r>
    <s v="CA-2014-149244"/>
    <x v="53"/>
    <d v="2014-11-08T00:00:00"/>
    <x v="1"/>
    <s v="MS-17530"/>
    <s v="MaryBeth Skach"/>
    <x v="0"/>
    <s v="United States"/>
    <x v="53"/>
    <x v="2"/>
    <x v="1"/>
    <s v="FUR-FU-10004671"/>
    <s v="Furniture"/>
    <x v="3"/>
    <s v="Executive Impressions 12&quot; Wall Clock"/>
    <n v="35.340000000000003"/>
    <n v="2"/>
    <n v="13.4292"/>
    <x v="4"/>
    <x v="0"/>
  </r>
  <r>
    <s v="CA-2015-140144"/>
    <x v="390"/>
    <d v="2015-06-25T00:00:00"/>
    <x v="0"/>
    <s v="SC-20770"/>
    <s v="Stewart Carmichael"/>
    <x v="1"/>
    <s v="United States"/>
    <x v="28"/>
    <x v="2"/>
    <x v="1"/>
    <s v="FUR-FU-10002253"/>
    <s v="Furniture"/>
    <x v="3"/>
    <s v="Howard Miller 13&quot; Diameter Pewter Finish Round Wall Clock"/>
    <n v="257.64"/>
    <n v="6"/>
    <n v="100.4796"/>
    <x v="2"/>
    <x v="2"/>
  </r>
  <r>
    <s v="CA-2014-155887"/>
    <x v="264"/>
    <d v="2014-05-17T00:00:00"/>
    <x v="1"/>
    <s v="KT-16480"/>
    <s v="Kean Thornton"/>
    <x v="0"/>
    <s v="United States"/>
    <x v="20"/>
    <x v="20"/>
    <x v="2"/>
    <s v="FUR-TA-10002228"/>
    <s v="Furniture"/>
    <x v="2"/>
    <s v="Bevis Traditional Conference Table Top, Plinth Base"/>
    <n v="700.05600000000004"/>
    <n v="3"/>
    <n v="-130.0104"/>
    <x v="2"/>
    <x v="7"/>
  </r>
  <r>
    <s v="US-2014-141257"/>
    <x v="391"/>
    <d v="2014-06-14T00:00:00"/>
    <x v="1"/>
    <s v="CS-11950"/>
    <s v="Carlos Soltero"/>
    <x v="0"/>
    <s v="United States"/>
    <x v="15"/>
    <x v="13"/>
    <x v="1"/>
    <s v="FUR-CH-10002758"/>
    <s v="Furniture"/>
    <x v="1"/>
    <s v="Hon Deluxe Fabric Upholstered Stacking Chairs, Squared Back"/>
    <n v="585.55200000000002"/>
    <n v="3"/>
    <n v="73.194000000000003"/>
    <x v="6"/>
    <x v="2"/>
  </r>
  <r>
    <s v="CA-2014-158029"/>
    <x v="261"/>
    <d v="2014-05-30T00:00:00"/>
    <x v="1"/>
    <s v="HF-14995"/>
    <s v="Herbert Flentye"/>
    <x v="0"/>
    <s v="United States"/>
    <x v="2"/>
    <x v="2"/>
    <x v="1"/>
    <s v="FUR-CH-10000988"/>
    <s v="Furniture"/>
    <x v="1"/>
    <s v="Hon Olson Stacker Stools"/>
    <n v="225.29599999999999"/>
    <n v="2"/>
    <n v="22.529599999999999"/>
    <x v="4"/>
    <x v="7"/>
  </r>
  <r>
    <s v="CA-2016-146171"/>
    <x v="237"/>
    <d v="2016-03-15T00:00:00"/>
    <x v="1"/>
    <s v="JP-16135"/>
    <s v="Julie Prescott"/>
    <x v="2"/>
    <s v="United States"/>
    <x v="29"/>
    <x v="24"/>
    <x v="0"/>
    <s v="FUR-FU-10004270"/>
    <s v="Furniture"/>
    <x v="3"/>
    <s v="Executive Impressions 13&quot; Clairmont Wall Clock"/>
    <n v="76.92"/>
    <n v="4"/>
    <n v="31.537199999999999"/>
    <x v="4"/>
    <x v="9"/>
  </r>
  <r>
    <s v="CA-2017-158967"/>
    <x v="247"/>
    <d v="2017-12-12T00:00:00"/>
    <x v="2"/>
    <s v="BT-11680"/>
    <s v="Brian Thompson"/>
    <x v="0"/>
    <s v="United States"/>
    <x v="1"/>
    <x v="1"/>
    <x v="0"/>
    <s v="FUR-FU-10001940"/>
    <s v="Furniture"/>
    <x v="3"/>
    <s v="Staple-based wall hangings"/>
    <n v="19.103999999999999"/>
    <n v="3"/>
    <n v="5.7312000000000003"/>
    <x v="3"/>
    <x v="5"/>
  </r>
  <r>
    <s v="CA-2015-138534"/>
    <x v="392"/>
    <d v="2015-07-19T00:00:00"/>
    <x v="0"/>
    <s v="JM-15535"/>
    <s v="Jessica Myrick"/>
    <x v="0"/>
    <s v="United States"/>
    <x v="175"/>
    <x v="2"/>
    <x v="1"/>
    <s v="FUR-BO-10003159"/>
    <s v="Furniture"/>
    <x v="0"/>
    <s v="Sauder Camden County Collection Libraries, Planked Cherry Finish"/>
    <n v="195.46600000000001"/>
    <n v="2"/>
    <n v="-13.797599999999999"/>
    <x v="3"/>
    <x v="3"/>
  </r>
  <r>
    <s v="CA-2017-108322"/>
    <x v="393"/>
    <d v="2017-05-05T00:00:00"/>
    <x v="1"/>
    <s v="SS-20140"/>
    <s v="Saphhira Shifley"/>
    <x v="1"/>
    <s v="United States"/>
    <x v="176"/>
    <x v="1"/>
    <x v="0"/>
    <s v="FUR-FU-10001935"/>
    <s v="Furniture"/>
    <x v="3"/>
    <s v="3M Hangers With Command Adhesive"/>
    <n v="23.68"/>
    <n v="8"/>
    <n v="6.2160000000000002"/>
    <x v="2"/>
    <x v="6"/>
  </r>
  <r>
    <s v="CA-2015-149972"/>
    <x v="231"/>
    <d v="2015-09-23T00:00:00"/>
    <x v="2"/>
    <s v="CD-12790"/>
    <s v="Cynthia Delaney"/>
    <x v="2"/>
    <s v="United States"/>
    <x v="2"/>
    <x v="2"/>
    <x v="1"/>
    <s v="FUR-CH-10004997"/>
    <s v="Furniture"/>
    <x v="1"/>
    <s v="Hon Every-Day Series Multi-Task Chairs"/>
    <n v="601.53599999999994"/>
    <n v="4"/>
    <n v="0"/>
    <x v="3"/>
    <x v="4"/>
  </r>
  <r>
    <s v="US-2014-117744"/>
    <x v="116"/>
    <d v="2014-12-06T00:00:00"/>
    <x v="1"/>
    <s v="MD-17860"/>
    <s v="Michael Dominguez"/>
    <x v="1"/>
    <s v="United States"/>
    <x v="177"/>
    <x v="5"/>
    <x v="3"/>
    <s v="FUR-FU-10001588"/>
    <s v="Furniture"/>
    <x v="3"/>
    <s v="Deflect-o SuperTray Unbreakable Stackable Tray, Letter, Black"/>
    <n v="58.36"/>
    <n v="5"/>
    <n v="-24.803000000000001"/>
    <x v="4"/>
    <x v="5"/>
  </r>
  <r>
    <s v="US-2014-117744"/>
    <x v="116"/>
    <d v="2014-12-06T00:00:00"/>
    <x v="1"/>
    <s v="MD-17860"/>
    <s v="Michael Dominguez"/>
    <x v="1"/>
    <s v="United States"/>
    <x v="177"/>
    <x v="5"/>
    <x v="3"/>
    <s v="FUR-FU-10002759"/>
    <s v="Furniture"/>
    <x v="3"/>
    <s v="12-1/2 Diameter Round Wall Clock"/>
    <n v="39.96"/>
    <n v="5"/>
    <n v="-23.975999999999999"/>
    <x v="4"/>
    <x v="5"/>
  </r>
  <r>
    <s v="CA-2014-154599"/>
    <x v="394"/>
    <d v="2014-04-17T00:00:00"/>
    <x v="1"/>
    <s v="KN-16450"/>
    <s v="Kean Nguyen"/>
    <x v="1"/>
    <s v="United States"/>
    <x v="178"/>
    <x v="2"/>
    <x v="1"/>
    <s v="FUR-BO-10001337"/>
    <s v="Furniture"/>
    <x v="0"/>
    <s v="O'Sullivan Living Dimensions 2-Shelf Bookcases"/>
    <n v="308.49900000000002"/>
    <n v="3"/>
    <n v="-18.146999999999998"/>
    <x v="2"/>
    <x v="6"/>
  </r>
  <r>
    <s v="CA-2017-143329"/>
    <x v="54"/>
    <d v="2017-11-08T00:00:00"/>
    <x v="1"/>
    <s v="DL-13330"/>
    <s v="Denise Leinenbach"/>
    <x v="0"/>
    <s v="United States"/>
    <x v="179"/>
    <x v="41"/>
    <x v="1"/>
    <s v="FUR-FU-10000629"/>
    <s v="Furniture"/>
    <x v="3"/>
    <s v="9-3/4 Diameter Round Wall Clock"/>
    <n v="41.37"/>
    <n v="3"/>
    <n v="17.375399999999999"/>
    <x v="2"/>
    <x v="0"/>
  </r>
  <r>
    <s v="CA-2015-122623"/>
    <x v="395"/>
    <d v="2015-09-11T00:00:00"/>
    <x v="1"/>
    <s v="CC-12145"/>
    <s v="Charles Crestani"/>
    <x v="0"/>
    <s v="United States"/>
    <x v="116"/>
    <x v="5"/>
    <x v="3"/>
    <s v="FUR-CH-10000553"/>
    <s v="Furniture"/>
    <x v="1"/>
    <s v="Metal Folding Chairs, Beige, 4/Carton"/>
    <n v="47.515999999999998"/>
    <n v="2"/>
    <n v="-2.0364"/>
    <x v="4"/>
    <x v="4"/>
  </r>
  <r>
    <s v="CA-2015-148635"/>
    <x v="396"/>
    <d v="2015-07-27T00:00:00"/>
    <x v="0"/>
    <s v="MH-18025"/>
    <s v="Michelle Huthwaite"/>
    <x v="0"/>
    <s v="United States"/>
    <x v="15"/>
    <x v="13"/>
    <x v="1"/>
    <s v="FUR-BO-10002213"/>
    <s v="Furniture"/>
    <x v="0"/>
    <s v="Sauder Forest Hills Library, Woodland Oak Finish"/>
    <n v="704.9"/>
    <n v="5"/>
    <n v="56.392000000000003"/>
    <x v="3"/>
    <x v="3"/>
  </r>
  <r>
    <s v="CA-2015-148635"/>
    <x v="396"/>
    <d v="2015-07-27T00:00:00"/>
    <x v="0"/>
    <s v="MH-18025"/>
    <s v="Michelle Huthwaite"/>
    <x v="0"/>
    <s v="United States"/>
    <x v="15"/>
    <x v="13"/>
    <x v="1"/>
    <s v="FUR-CH-10001854"/>
    <s v="Furniture"/>
    <x v="1"/>
    <s v="Office Star - Professional Matrix Back Chair with 2-to-1 Synchro Tilt and Mesh Fabric Seat"/>
    <n v="561.56799999999998"/>
    <n v="2"/>
    <n v="28.078399999999998"/>
    <x v="3"/>
    <x v="3"/>
  </r>
  <r>
    <s v="CA-2015-135685"/>
    <x v="397"/>
    <d v="2015-11-18T00:00:00"/>
    <x v="0"/>
    <s v="MP-18175"/>
    <s v="Mike Pelletier"/>
    <x v="2"/>
    <s v="United States"/>
    <x v="79"/>
    <x v="16"/>
    <x v="3"/>
    <s v="FUR-FU-10001185"/>
    <s v="Furniture"/>
    <x v="3"/>
    <s v="Advantus Employee of the Month Certificate Frame, 11 x 13-1/2"/>
    <n v="185.58"/>
    <n v="6"/>
    <n v="76.087800000000001"/>
    <x v="3"/>
    <x v="0"/>
  </r>
  <r>
    <s v="CA-2015-135685"/>
    <x v="397"/>
    <d v="2015-11-18T00:00:00"/>
    <x v="0"/>
    <s v="MP-18175"/>
    <s v="Mike Pelletier"/>
    <x v="2"/>
    <s v="United States"/>
    <x v="79"/>
    <x v="16"/>
    <x v="3"/>
    <s v="FUR-TA-10001520"/>
    <s v="Furniture"/>
    <x v="2"/>
    <s v="Lesro Sheffield Collection Coffee Table, End Table, Center Table, Corner Table"/>
    <n v="214.11"/>
    <n v="3"/>
    <n v="36.398699999999998"/>
    <x v="3"/>
    <x v="0"/>
  </r>
  <r>
    <s v="CA-2015-135685"/>
    <x v="397"/>
    <d v="2015-11-18T00:00:00"/>
    <x v="0"/>
    <s v="MP-18175"/>
    <s v="Mike Pelletier"/>
    <x v="2"/>
    <s v="United States"/>
    <x v="79"/>
    <x v="16"/>
    <x v="3"/>
    <s v="FUR-TA-10000688"/>
    <s v="Furniture"/>
    <x v="2"/>
    <s v="Chromcraft Bull-Nose Wood Round Conference Table Top, Wood Base"/>
    <n v="653.54999999999995"/>
    <n v="3"/>
    <n v="111.1035"/>
    <x v="3"/>
    <x v="0"/>
  </r>
  <r>
    <s v="CA-2015-104626"/>
    <x v="398"/>
    <d v="2015-09-08T00:00:00"/>
    <x v="1"/>
    <s v="DR-12940"/>
    <s v="Daniel Raglin"/>
    <x v="2"/>
    <s v="United States"/>
    <x v="20"/>
    <x v="20"/>
    <x v="2"/>
    <s v="FUR-CH-10003817"/>
    <s v="Furniture"/>
    <x v="1"/>
    <s v="Global Value Steno Chair, Gray"/>
    <n v="60.74"/>
    <n v="1"/>
    <n v="15.185"/>
    <x v="1"/>
    <x v="4"/>
  </r>
  <r>
    <s v="CA-2015-104626"/>
    <x v="398"/>
    <d v="2015-09-08T00:00:00"/>
    <x v="1"/>
    <s v="DR-12940"/>
    <s v="Daniel Raglin"/>
    <x v="2"/>
    <s v="United States"/>
    <x v="20"/>
    <x v="20"/>
    <x v="2"/>
    <s v="FUR-FU-10000308"/>
    <s v="Furniture"/>
    <x v="3"/>
    <s v="Deflect-o Glass Clear Studded Chair Mats"/>
    <n v="124.36"/>
    <n v="2"/>
    <n v="27.359200000000001"/>
    <x v="1"/>
    <x v="4"/>
  </r>
  <r>
    <s v="CA-2016-160500"/>
    <x v="399"/>
    <d v="2016-05-08T00:00:00"/>
    <x v="2"/>
    <s v="DM-13015"/>
    <s v="Darrin Martin"/>
    <x v="0"/>
    <s v="United States"/>
    <x v="92"/>
    <x v="2"/>
    <x v="1"/>
    <s v="FUR-TA-10003748"/>
    <s v="Furniture"/>
    <x v="2"/>
    <s v="Bevis 36 x 72 Conference Tables"/>
    <n v="298.77600000000001"/>
    <n v="3"/>
    <n v="7.4694000000000003"/>
    <x v="0"/>
    <x v="7"/>
  </r>
  <r>
    <s v="US-2014-112914"/>
    <x v="400"/>
    <d v="2014-09-30T00:00:00"/>
    <x v="1"/>
    <s v="MT-18070"/>
    <s v="Michelle Tran"/>
    <x v="2"/>
    <s v="United States"/>
    <x v="6"/>
    <x v="5"/>
    <x v="3"/>
    <s v="FUR-BO-10003272"/>
    <s v="Furniture"/>
    <x v="0"/>
    <s v="O'Sullivan Living Dimensions 5-Shelf Bookcases"/>
    <n v="300.53280000000001"/>
    <n v="2"/>
    <n v="-97.231200000000001"/>
    <x v="2"/>
    <x v="4"/>
  </r>
  <r>
    <s v="US-2014-125521"/>
    <x v="401"/>
    <d v="2014-03-19T00:00:00"/>
    <x v="1"/>
    <s v="CK-12325"/>
    <s v="Christine Kargatis"/>
    <x v="2"/>
    <s v="United States"/>
    <x v="180"/>
    <x v="25"/>
    <x v="0"/>
    <s v="FUR-CH-10003379"/>
    <s v="Furniture"/>
    <x v="1"/>
    <s v="Global Commerce Series High-Back Swivel/Tilt Chairs"/>
    <n v="1139.92"/>
    <n v="4"/>
    <n v="284.98"/>
    <x v="2"/>
    <x v="9"/>
  </r>
  <r>
    <s v="US-2016-162852"/>
    <x v="402"/>
    <d v="2016-12-31T00:00:00"/>
    <x v="1"/>
    <s v="BG-11695"/>
    <s v="Brooke Gillingham"/>
    <x v="1"/>
    <s v="United States"/>
    <x v="181"/>
    <x v="8"/>
    <x v="3"/>
    <s v="FUR-CH-10004853"/>
    <s v="Furniture"/>
    <x v="1"/>
    <s v="Global Manager's Adjustable Task Chair, Storm"/>
    <n v="845.48800000000006"/>
    <n v="8"/>
    <n v="-12.0784"/>
    <x v="4"/>
    <x v="5"/>
  </r>
  <r>
    <s v="CA-2017-157854"/>
    <x v="403"/>
    <d v="2017-04-15T00:00:00"/>
    <x v="1"/>
    <s v="DM-13345"/>
    <s v="Denise Monton"/>
    <x v="1"/>
    <s v="United States"/>
    <x v="153"/>
    <x v="24"/>
    <x v="0"/>
    <s v="FUR-FU-10003832"/>
    <s v="Furniture"/>
    <x v="3"/>
    <s v="Eldon Expressions Punched Metal &amp; Wood Desk Accessories, Black &amp; Cherry"/>
    <n v="56.28"/>
    <n v="6"/>
    <n v="15.7584"/>
    <x v="1"/>
    <x v="6"/>
  </r>
  <r>
    <s v="CA-2016-136371"/>
    <x v="331"/>
    <d v="2016-03-21T00:00:00"/>
    <x v="0"/>
    <s v="SV-20935"/>
    <s v="Susan Vittorini"/>
    <x v="0"/>
    <s v="United States"/>
    <x v="64"/>
    <x v="7"/>
    <x v="2"/>
    <s v="FUR-FU-10000409"/>
    <s v="Furniture"/>
    <x v="3"/>
    <s v="GE 4 Foot Flourescent Tube, 40 Watt"/>
    <n v="14.98"/>
    <n v="1"/>
    <n v="6.8907999999999996"/>
    <x v="3"/>
    <x v="9"/>
  </r>
  <r>
    <s v="CA-2016-136371"/>
    <x v="331"/>
    <d v="2016-03-21T00:00:00"/>
    <x v="0"/>
    <s v="SV-20935"/>
    <s v="Susan Vittorini"/>
    <x v="0"/>
    <s v="United States"/>
    <x v="64"/>
    <x v="7"/>
    <x v="2"/>
    <s v="FUR-FU-10000221"/>
    <s v="Furniture"/>
    <x v="3"/>
    <s v="Master Caster Door Stop, Brown"/>
    <n v="20.32"/>
    <n v="4"/>
    <n v="6.9088000000000003"/>
    <x v="3"/>
    <x v="9"/>
  </r>
  <r>
    <s v="CA-2016-128594"/>
    <x v="238"/>
    <d v="2016-08-29T00:00:00"/>
    <x v="2"/>
    <s v="DJ-13510"/>
    <s v="Don Jones"/>
    <x v="1"/>
    <s v="United States"/>
    <x v="53"/>
    <x v="2"/>
    <x v="1"/>
    <s v="FUR-CH-10001215"/>
    <s v="Furniture"/>
    <x v="1"/>
    <s v="Global Troy Executive Leather Low-Back Tilter"/>
    <n v="1603.136"/>
    <n v="4"/>
    <n v="100.196"/>
    <x v="0"/>
    <x v="10"/>
  </r>
  <r>
    <s v="CA-2016-154690"/>
    <x v="404"/>
    <d v="2016-08-17T00:00:00"/>
    <x v="0"/>
    <s v="CC-12370"/>
    <s v="Christopher Conant"/>
    <x v="0"/>
    <s v="United States"/>
    <x v="160"/>
    <x v="30"/>
    <x v="0"/>
    <s v="FUR-CH-10000988"/>
    <s v="Furniture"/>
    <x v="1"/>
    <s v="Hon Olson Stacker Stools"/>
    <n v="225.29599999999999"/>
    <n v="2"/>
    <n v="22.529599999999999"/>
    <x v="3"/>
    <x v="10"/>
  </r>
  <r>
    <s v="CA-2017-138975"/>
    <x v="405"/>
    <d v="2017-05-23T00:00:00"/>
    <x v="1"/>
    <s v="SC-20380"/>
    <s v="Shahid Collister"/>
    <x v="0"/>
    <s v="United States"/>
    <x v="182"/>
    <x v="24"/>
    <x v="0"/>
    <s v="FUR-BO-10004695"/>
    <s v="Furniture"/>
    <x v="0"/>
    <s v="O'Sullivan 2-Door Barrister Bookcase in Odessa Pine"/>
    <n v="1628.82"/>
    <n v="9"/>
    <n v="374.62860000000001"/>
    <x v="4"/>
    <x v="7"/>
  </r>
  <r>
    <s v="CA-2017-143861"/>
    <x v="235"/>
    <d v="2017-06-19T00:00:00"/>
    <x v="1"/>
    <s v="LC-16885"/>
    <s v="Lena Creighton"/>
    <x v="0"/>
    <s v="United States"/>
    <x v="66"/>
    <x v="1"/>
    <x v="0"/>
    <s v="FUR-FU-10001546"/>
    <s v="Furniture"/>
    <x v="3"/>
    <s v="Dana Swing-Arm Lamps"/>
    <n v="17.088000000000001"/>
    <n v="2"/>
    <n v="1.0680000000000001"/>
    <x v="1"/>
    <x v="2"/>
  </r>
  <r>
    <s v="CA-2014-148040"/>
    <x v="406"/>
    <d v="2014-03-26T00:00:00"/>
    <x v="1"/>
    <s v="BF-11275"/>
    <s v="Beth Fritzler"/>
    <x v="1"/>
    <s v="United States"/>
    <x v="104"/>
    <x v="22"/>
    <x v="1"/>
    <s v="FUR-CH-10001482"/>
    <s v="Furniture"/>
    <x v="1"/>
    <s v="Office Star - Mesh Screen back chair with Vinyl seat"/>
    <n v="314.35199999999998"/>
    <n v="3"/>
    <n v="-35.364600000000003"/>
    <x v="4"/>
    <x v="9"/>
  </r>
  <r>
    <s v="US-2016-167339"/>
    <x v="407"/>
    <d v="2016-01-23T00:00:00"/>
    <x v="0"/>
    <s v="TD-20995"/>
    <s v="Tamara Dahlen"/>
    <x v="0"/>
    <s v="United States"/>
    <x v="53"/>
    <x v="2"/>
    <x v="1"/>
    <s v="FUR-CH-10004289"/>
    <s v="Furniture"/>
    <x v="1"/>
    <s v="Global Super Steno Chair"/>
    <n v="153.56800000000001"/>
    <n v="2"/>
    <n v="-5.7587999999999999"/>
    <x v="3"/>
    <x v="8"/>
  </r>
  <r>
    <s v="US-2016-167339"/>
    <x v="407"/>
    <d v="2016-01-23T00:00:00"/>
    <x v="0"/>
    <s v="TD-20995"/>
    <s v="Tamara Dahlen"/>
    <x v="0"/>
    <s v="United States"/>
    <x v="53"/>
    <x v="2"/>
    <x v="1"/>
    <s v="FUR-CH-10000785"/>
    <s v="Furniture"/>
    <x v="1"/>
    <s v="Global Ergonomic Managers Chair"/>
    <n v="1013.4880000000001"/>
    <n v="7"/>
    <n v="76.011600000000001"/>
    <x v="3"/>
    <x v="8"/>
  </r>
  <r>
    <s v="CA-2016-130799"/>
    <x v="367"/>
    <d v="2016-11-16T00:00:00"/>
    <x v="0"/>
    <s v="BK-11260"/>
    <s v="Berenike Kampe"/>
    <x v="0"/>
    <s v="United States"/>
    <x v="28"/>
    <x v="2"/>
    <x v="1"/>
    <s v="FUR-FU-10001852"/>
    <s v="Furniture"/>
    <x v="3"/>
    <s v="Eldon Regeneration Recycled Desk Accessories, Smoke"/>
    <n v="6.96"/>
    <n v="4"/>
    <n v="2.2271999999999998"/>
    <x v="2"/>
    <x v="0"/>
  </r>
  <r>
    <s v="US-2016-159856"/>
    <x v="408"/>
    <d v="2016-10-22T00:00:00"/>
    <x v="1"/>
    <s v="EP-13915"/>
    <s v="Emily Phan"/>
    <x v="0"/>
    <s v="United States"/>
    <x v="183"/>
    <x v="22"/>
    <x v="1"/>
    <s v="FUR-CH-10003396"/>
    <s v="Furniture"/>
    <x v="1"/>
    <s v="Global Deluxe Steno Chair"/>
    <n v="307.92"/>
    <n v="5"/>
    <n v="-34.640999999999998"/>
    <x v="4"/>
    <x v="1"/>
  </r>
  <r>
    <s v="CA-2014-142727"/>
    <x v="149"/>
    <d v="2014-05-01T00:00:00"/>
    <x v="0"/>
    <s v="HG-14845"/>
    <s v="Harry Greene"/>
    <x v="0"/>
    <s v="United States"/>
    <x v="184"/>
    <x v="35"/>
    <x v="0"/>
    <s v="FUR-CH-10002304"/>
    <s v="Furniture"/>
    <x v="1"/>
    <s v="Global Stack Chair without Arms, Black"/>
    <n v="51.96"/>
    <n v="2"/>
    <n v="12.99"/>
    <x v="3"/>
    <x v="6"/>
  </r>
  <r>
    <s v="CA-2017-139913"/>
    <x v="409"/>
    <d v="2017-10-29T00:00:00"/>
    <x v="1"/>
    <s v="JC-16105"/>
    <s v="Julie Creighton"/>
    <x v="1"/>
    <s v="United States"/>
    <x v="77"/>
    <x v="7"/>
    <x v="2"/>
    <s v="FUR-FU-10000771"/>
    <s v="Furniture"/>
    <x v="3"/>
    <s v="Eldon 200 Class Desk Accessories, Smoke"/>
    <n v="69.08"/>
    <n v="11"/>
    <n v="29.0136"/>
    <x v="6"/>
    <x v="1"/>
  </r>
  <r>
    <s v="US-2015-114839"/>
    <x v="12"/>
    <d v="2015-04-30T00:00:00"/>
    <x v="1"/>
    <s v="PW-19240"/>
    <s v="Pierre Wener"/>
    <x v="0"/>
    <s v="United States"/>
    <x v="6"/>
    <x v="5"/>
    <x v="3"/>
    <s v="FUR-CH-10004086"/>
    <s v="Furniture"/>
    <x v="1"/>
    <s v="Hon 4070 Series Pagoda Armless Upholstered Stacking Chairs"/>
    <n v="408.42200000000003"/>
    <n v="2"/>
    <n v="-5.8346"/>
    <x v="4"/>
    <x v="6"/>
  </r>
  <r>
    <s v="CA-2016-153577"/>
    <x v="410"/>
    <d v="2016-07-01T00:00:00"/>
    <x v="1"/>
    <s v="KH-16330"/>
    <s v="Katharine Harms"/>
    <x v="1"/>
    <s v="United States"/>
    <x v="185"/>
    <x v="8"/>
    <x v="3"/>
    <s v="FUR-CH-10003981"/>
    <s v="Furniture"/>
    <x v="1"/>
    <s v="Global Commerce Series Low-Back Swivel/Tilt Chairs"/>
    <n v="539.65800000000002"/>
    <n v="3"/>
    <n v="-7.7093999999999996"/>
    <x v="4"/>
    <x v="2"/>
  </r>
  <r>
    <s v="CA-2016-160129"/>
    <x v="411"/>
    <d v="2016-11-23T00:00:00"/>
    <x v="3"/>
    <s v="LS-17200"/>
    <s v="Luke Schmidt"/>
    <x v="1"/>
    <s v="United States"/>
    <x v="3"/>
    <x v="3"/>
    <x v="2"/>
    <s v="FUR-FU-10002088"/>
    <s v="Furniture"/>
    <x v="3"/>
    <s v="Nu-Dell Float Frame 11 x 14 1/2"/>
    <n v="14.368"/>
    <n v="2"/>
    <n v="3.9512"/>
    <x v="7"/>
    <x v="0"/>
  </r>
  <r>
    <s v="CA-2016-160129"/>
    <x v="411"/>
    <d v="2016-11-23T00:00:00"/>
    <x v="3"/>
    <s v="LS-17200"/>
    <s v="Luke Schmidt"/>
    <x v="1"/>
    <s v="United States"/>
    <x v="3"/>
    <x v="3"/>
    <x v="2"/>
    <s v="FUR-FU-10003976"/>
    <s v="Furniture"/>
    <x v="3"/>
    <s v="DAX Executive Solid Wood Document Frame, Desktop or Hang, Mahogany, 5 x 7"/>
    <n v="70.447999999999993"/>
    <n v="7"/>
    <n v="12.3284"/>
    <x v="7"/>
    <x v="0"/>
  </r>
  <r>
    <s v="CA-2014-157721"/>
    <x v="412"/>
    <d v="2014-09-05T00:00:00"/>
    <x v="2"/>
    <s v="JM-16195"/>
    <s v="Justin MacKendrick"/>
    <x v="0"/>
    <s v="United States"/>
    <x v="115"/>
    <x v="7"/>
    <x v="2"/>
    <s v="FUR-FU-10002116"/>
    <s v="Furniture"/>
    <x v="3"/>
    <s v="Tenex Carpeted, Granite-Look or Clear Contemporary Contour Shape Chair Mats"/>
    <n v="70.709999999999994"/>
    <n v="1"/>
    <n v="4.9497"/>
    <x v="0"/>
    <x v="4"/>
  </r>
  <r>
    <s v="CA-2017-128629"/>
    <x v="413"/>
    <d v="2017-07-14T00:00:00"/>
    <x v="0"/>
    <s v="BP-11155"/>
    <s v="Becky Pak"/>
    <x v="0"/>
    <s v="United States"/>
    <x v="29"/>
    <x v="24"/>
    <x v="0"/>
    <s v="FUR-FU-10000771"/>
    <s v="Furniture"/>
    <x v="3"/>
    <s v="Eldon 200 Class Desk Accessories, Smoke"/>
    <n v="18.84"/>
    <n v="3"/>
    <n v="7.9127999999999998"/>
    <x v="4"/>
    <x v="3"/>
  </r>
  <r>
    <s v="CA-2017-143434"/>
    <x v="414"/>
    <d v="2017-11-24T00:00:00"/>
    <x v="1"/>
    <s v="ME-17320"/>
    <s v="Maria Etezadi"/>
    <x v="2"/>
    <s v="United States"/>
    <x v="186"/>
    <x v="17"/>
    <x v="3"/>
    <s v="FUR-FU-10002597"/>
    <s v="Furniture"/>
    <x v="3"/>
    <s v="C-Line Magnetic Cubicle Keepers, Clear Polypropylene"/>
    <n v="19.760000000000002"/>
    <n v="4"/>
    <n v="8.2992000000000008"/>
    <x v="6"/>
    <x v="0"/>
  </r>
  <r>
    <s v="CA-2015-168564"/>
    <x v="415"/>
    <d v="2015-08-08T00:00:00"/>
    <x v="3"/>
    <s v="TT-21220"/>
    <s v="Thomas Thornton"/>
    <x v="0"/>
    <s v="United States"/>
    <x v="28"/>
    <x v="2"/>
    <x v="1"/>
    <s v="FUR-CH-10000785"/>
    <s v="Furniture"/>
    <x v="1"/>
    <s v="Global Ergonomic Managers Chair"/>
    <n v="144.78399999999999"/>
    <n v="1"/>
    <n v="10.8588"/>
    <x v="7"/>
    <x v="10"/>
  </r>
  <r>
    <s v="CA-2017-155880"/>
    <x v="416"/>
    <d v="2017-03-31T00:00:00"/>
    <x v="1"/>
    <s v="JD-16150"/>
    <s v="Justin Deggeller"/>
    <x v="1"/>
    <s v="United States"/>
    <x v="79"/>
    <x v="16"/>
    <x v="3"/>
    <s v="FUR-CH-10000422"/>
    <s v="Furniture"/>
    <x v="1"/>
    <s v="Global Highback Leather Tilter in Burgundy"/>
    <n v="90.99"/>
    <n v="1"/>
    <n v="14.558400000000001"/>
    <x v="6"/>
    <x v="9"/>
  </r>
  <r>
    <s v="CA-2017-155880"/>
    <x v="416"/>
    <d v="2017-03-31T00:00:00"/>
    <x v="1"/>
    <s v="JD-16150"/>
    <s v="Justin Deggeller"/>
    <x v="1"/>
    <s v="United States"/>
    <x v="79"/>
    <x v="16"/>
    <x v="3"/>
    <s v="FUR-CH-10004675"/>
    <s v="Furniture"/>
    <x v="1"/>
    <s v="Lifetime Advantage Folding Chairs, 4/Carton"/>
    <n v="1526.56"/>
    <n v="7"/>
    <n v="427.43680000000001"/>
    <x v="6"/>
    <x v="9"/>
  </r>
  <r>
    <s v="CA-2017-155880"/>
    <x v="416"/>
    <d v="2017-03-31T00:00:00"/>
    <x v="1"/>
    <s v="JD-16150"/>
    <s v="Justin Deggeller"/>
    <x v="1"/>
    <s v="United States"/>
    <x v="79"/>
    <x v="16"/>
    <x v="3"/>
    <s v="FUR-CH-10002880"/>
    <s v="Furniture"/>
    <x v="1"/>
    <s v="Global High-Back Leather Tilter, Burgundy"/>
    <n v="368.97"/>
    <n v="3"/>
    <n v="40.5867"/>
    <x v="6"/>
    <x v="9"/>
  </r>
  <r>
    <s v="CA-2017-126242"/>
    <x v="49"/>
    <d v="2017-11-24T00:00:00"/>
    <x v="1"/>
    <s v="MC-18100"/>
    <s v="Mick Crebagga"/>
    <x v="0"/>
    <s v="United States"/>
    <x v="2"/>
    <x v="2"/>
    <x v="1"/>
    <s v="FUR-FU-10002685"/>
    <s v="Furniture"/>
    <x v="3"/>
    <s v="Executive Impressions 13-1/2&quot; Indoor/Outdoor Wall Clock"/>
    <n v="18.7"/>
    <n v="1"/>
    <n v="7.1059999999999999"/>
    <x v="2"/>
    <x v="0"/>
  </r>
  <r>
    <s v="CA-2016-166443"/>
    <x v="114"/>
    <d v="2016-11-05T00:00:00"/>
    <x v="2"/>
    <s v="LH-17020"/>
    <s v="Lisa Hazard"/>
    <x v="0"/>
    <s v="United States"/>
    <x v="28"/>
    <x v="2"/>
    <x v="1"/>
    <s v="FUR-FU-10004020"/>
    <s v="Furniture"/>
    <x v="3"/>
    <s v="Advantus Panel Wall Acrylic Frame"/>
    <n v="38.29"/>
    <n v="7"/>
    <n v="16.464700000000001"/>
    <x v="5"/>
    <x v="0"/>
  </r>
  <r>
    <s v="CA-2017-169859"/>
    <x v="417"/>
    <d v="2017-12-18T00:00:00"/>
    <x v="1"/>
    <s v="MP-18175"/>
    <s v="Mike Pelletier"/>
    <x v="2"/>
    <s v="United States"/>
    <x v="53"/>
    <x v="2"/>
    <x v="1"/>
    <s v="FUR-FU-10004963"/>
    <s v="Furniture"/>
    <x v="3"/>
    <s v="Eldon 400 Class Desk Accessories, Black Carbon"/>
    <n v="26.25"/>
    <n v="3"/>
    <n v="11.025"/>
    <x v="4"/>
    <x v="5"/>
  </r>
  <r>
    <s v="CA-2017-134915"/>
    <x v="418"/>
    <d v="2017-11-12T00:00:00"/>
    <x v="3"/>
    <s v="EM-14140"/>
    <s v="Eugene Moren"/>
    <x v="2"/>
    <s v="United States"/>
    <x v="110"/>
    <x v="22"/>
    <x v="1"/>
    <s v="FUR-CH-10004875"/>
    <s v="Furniture"/>
    <x v="1"/>
    <s v="Harbour Creations 67200 Series Stacking Chairs"/>
    <n v="113.88800000000001"/>
    <n v="2"/>
    <n v="9.9651999999999994"/>
    <x v="7"/>
    <x v="0"/>
  </r>
  <r>
    <s v="CA-2017-134915"/>
    <x v="418"/>
    <d v="2017-11-12T00:00:00"/>
    <x v="3"/>
    <s v="EM-14140"/>
    <s v="Eugene Moren"/>
    <x v="2"/>
    <s v="United States"/>
    <x v="110"/>
    <x v="22"/>
    <x v="1"/>
    <s v="FUR-FU-10000305"/>
    <s v="Furniture"/>
    <x v="3"/>
    <s v="Tenex V2T-RE Standard Weight Series Chair Mat, 45&quot; x 53&quot;, Lip 25&quot; x 12&quot;"/>
    <n v="113.568"/>
    <n v="2"/>
    <n v="-5.6783999999999999"/>
    <x v="7"/>
    <x v="0"/>
  </r>
  <r>
    <s v="CA-2017-123638"/>
    <x v="419"/>
    <d v="2017-07-04T00:00:00"/>
    <x v="1"/>
    <s v="MA-17995"/>
    <s v="Michelle Arnett"/>
    <x v="2"/>
    <s v="United States"/>
    <x v="115"/>
    <x v="7"/>
    <x v="2"/>
    <s v="FUR-CH-10002647"/>
    <s v="Furniture"/>
    <x v="1"/>
    <s v="Situations Contoured Folding Chairs, 4/Set"/>
    <n v="191.64599999999999"/>
    <n v="3"/>
    <n v="31.940999999999999"/>
    <x v="1"/>
    <x v="2"/>
  </r>
  <r>
    <s v="CA-2017-137428"/>
    <x v="420"/>
    <d v="2017-12-21T00:00:00"/>
    <x v="0"/>
    <s v="AY-10555"/>
    <s v="Andy Yotov"/>
    <x v="1"/>
    <s v="United States"/>
    <x v="64"/>
    <x v="2"/>
    <x v="1"/>
    <s v="FUR-CH-10002774"/>
    <s v="Furniture"/>
    <x v="1"/>
    <s v="Global Deluxe Stacking Chair, Gray"/>
    <n v="81.567999999999998"/>
    <n v="2"/>
    <n v="9.1763999999999992"/>
    <x v="2"/>
    <x v="5"/>
  </r>
  <r>
    <s v="CA-2017-137428"/>
    <x v="420"/>
    <d v="2017-12-21T00:00:00"/>
    <x v="0"/>
    <s v="AY-10555"/>
    <s v="Andy Yotov"/>
    <x v="1"/>
    <s v="United States"/>
    <x v="64"/>
    <x v="2"/>
    <x v="1"/>
    <s v="FUR-CH-10003817"/>
    <s v="Furniture"/>
    <x v="1"/>
    <s v="Global Value Steno Chair, Gray"/>
    <n v="97.183999999999997"/>
    <n v="2"/>
    <n v="6.0739999999999998"/>
    <x v="2"/>
    <x v="5"/>
  </r>
  <r>
    <s v="CA-2017-137428"/>
    <x v="420"/>
    <d v="2017-12-21T00:00:00"/>
    <x v="0"/>
    <s v="AY-10555"/>
    <s v="Andy Yotov"/>
    <x v="1"/>
    <s v="United States"/>
    <x v="64"/>
    <x v="2"/>
    <x v="1"/>
    <s v="FUR-FU-10002445"/>
    <s v="Furniture"/>
    <x v="3"/>
    <s v="DAX Two-Tone Rosewood/Black Document Frame, Desktop, 5 x 7"/>
    <n v="18.96"/>
    <n v="2"/>
    <n v="7.5839999999999996"/>
    <x v="2"/>
    <x v="5"/>
  </r>
  <r>
    <s v="CA-2014-162866"/>
    <x v="421"/>
    <d v="2014-12-31T00:00:00"/>
    <x v="1"/>
    <s v="Co-12640"/>
    <s v="Corey-Lock"/>
    <x v="0"/>
    <s v="United States"/>
    <x v="187"/>
    <x v="8"/>
    <x v="3"/>
    <s v="FUR-FU-10001473"/>
    <s v="Furniture"/>
    <x v="3"/>
    <s v="DAX Wood Document Frame"/>
    <n v="32.951999999999998"/>
    <n v="6"/>
    <n v="-19.7712"/>
    <x v="4"/>
    <x v="5"/>
  </r>
  <r>
    <s v="CA-2017-167941"/>
    <x v="200"/>
    <d v="2017-11-09T00:00:00"/>
    <x v="0"/>
    <s v="JF-15565"/>
    <s v="Jill Fjeld"/>
    <x v="0"/>
    <s v="United States"/>
    <x v="160"/>
    <x v="30"/>
    <x v="0"/>
    <s v="FUR-FU-10004671"/>
    <s v="Furniture"/>
    <x v="3"/>
    <s v="Executive Impressions 12&quot; Wall Clock"/>
    <n v="28.271999999999998"/>
    <n v="2"/>
    <n v="6.3612000000000002"/>
    <x v="0"/>
    <x v="0"/>
  </r>
  <r>
    <s v="CA-2015-137512"/>
    <x v="422"/>
    <d v="2015-05-12T00:00:00"/>
    <x v="1"/>
    <s v="AG-10675"/>
    <s v="Anna Gayman"/>
    <x v="0"/>
    <s v="United States"/>
    <x v="188"/>
    <x v="5"/>
    <x v="3"/>
    <s v="FUR-TA-10001095"/>
    <s v="Furniture"/>
    <x v="2"/>
    <s v="Chromcraft Round Conference Tables"/>
    <n v="244.006"/>
    <n v="2"/>
    <n v="-31.372199999999999"/>
    <x v="2"/>
    <x v="7"/>
  </r>
  <r>
    <s v="CA-2017-139773"/>
    <x v="423"/>
    <d v="2017-12-04T00:00:00"/>
    <x v="3"/>
    <s v="DV-13045"/>
    <s v="Darrin Van Huff"/>
    <x v="1"/>
    <s v="United States"/>
    <x v="3"/>
    <x v="3"/>
    <x v="2"/>
    <s v="FUR-CH-10001797"/>
    <s v="Furniture"/>
    <x v="1"/>
    <s v="Safco Chair Connectors, 6/Carton"/>
    <n v="188.55199999999999"/>
    <n v="7"/>
    <n v="-2.6936"/>
    <x v="7"/>
    <x v="5"/>
  </r>
  <r>
    <s v="CA-2014-109232"/>
    <x v="424"/>
    <d v="2014-01-16T00:00:00"/>
    <x v="0"/>
    <s v="ND-18370"/>
    <s v="Natalie DeCherney"/>
    <x v="0"/>
    <s v="United States"/>
    <x v="189"/>
    <x v="10"/>
    <x v="0"/>
    <s v="FUR-CH-10000422"/>
    <s v="Furniture"/>
    <x v="1"/>
    <s v="Global Highback Leather Tilter in Burgundy"/>
    <n v="545.94000000000005"/>
    <n v="6"/>
    <n v="87.350399999999993"/>
    <x v="0"/>
    <x v="8"/>
  </r>
  <r>
    <s v="CA-2015-139850"/>
    <x v="425"/>
    <d v="2015-06-17T00:00:00"/>
    <x v="1"/>
    <s v="GB-14575"/>
    <s v="Giulietta Baptist"/>
    <x v="0"/>
    <s v="United States"/>
    <x v="3"/>
    <x v="3"/>
    <x v="2"/>
    <s v="FUR-FU-10003623"/>
    <s v="Furniture"/>
    <x v="3"/>
    <s v="DataProducts Ampli Magnifier Task Lamp, Black,"/>
    <n v="43.295999999999999"/>
    <n v="2"/>
    <n v="4.3296000000000001"/>
    <x v="2"/>
    <x v="2"/>
  </r>
  <r>
    <s v="CA-2014-131310"/>
    <x v="56"/>
    <d v="2014-07-18T00:00:00"/>
    <x v="1"/>
    <s v="CL-12565"/>
    <s v="Clay Ludtke"/>
    <x v="0"/>
    <s v="United States"/>
    <x v="15"/>
    <x v="13"/>
    <x v="1"/>
    <s v="FUR-CH-10001797"/>
    <s v="Furniture"/>
    <x v="1"/>
    <s v="Safco Chair Connectors, 6/Carton"/>
    <n v="123.136"/>
    <n v="4"/>
    <n v="13.8528"/>
    <x v="6"/>
    <x v="3"/>
  </r>
  <r>
    <s v="US-2014-112872"/>
    <x v="387"/>
    <d v="2014-12-11T00:00:00"/>
    <x v="0"/>
    <s v="RC-19960"/>
    <s v="Ryan Crowe"/>
    <x v="0"/>
    <s v="United States"/>
    <x v="76"/>
    <x v="36"/>
    <x v="1"/>
    <s v="FUR-TA-10003238"/>
    <s v="Furniture"/>
    <x v="2"/>
    <s v="Chromcraft Bull-Nose Wood 48&quot; x 96&quot; Rectangular Conference Tables"/>
    <n v="275.49"/>
    <n v="1"/>
    <n v="-170.8038"/>
    <x v="2"/>
    <x v="5"/>
  </r>
  <r>
    <s v="CA-2016-139269"/>
    <x v="426"/>
    <d v="2016-05-30T00:00:00"/>
    <x v="1"/>
    <s v="JB-16045"/>
    <s v="Julia Barnett"/>
    <x v="2"/>
    <s v="United States"/>
    <x v="29"/>
    <x v="24"/>
    <x v="0"/>
    <s v="FUR-FU-10000755"/>
    <s v="Furniture"/>
    <x v="3"/>
    <s v="Eldon Expressions Mahogany Wood Desk Collection"/>
    <n v="24.96"/>
    <n v="4"/>
    <n v="6.24"/>
    <x v="2"/>
    <x v="7"/>
  </r>
  <r>
    <s v="CA-2014-138317"/>
    <x v="112"/>
    <d v="2014-06-25T00:00:00"/>
    <x v="1"/>
    <s v="NW-18400"/>
    <s v="Natalie Webber"/>
    <x v="0"/>
    <s v="United States"/>
    <x v="3"/>
    <x v="3"/>
    <x v="2"/>
    <s v="FUR-FU-10000550"/>
    <s v="Furniture"/>
    <x v="3"/>
    <s v="Stacking Trays by OIC"/>
    <n v="3.984"/>
    <n v="1"/>
    <n v="0.64739999999999998"/>
    <x v="4"/>
    <x v="2"/>
  </r>
  <r>
    <s v="CA-2016-124772"/>
    <x v="28"/>
    <d v="2016-12-06T00:00:00"/>
    <x v="2"/>
    <s v="JG-15160"/>
    <s v="James Galang"/>
    <x v="0"/>
    <s v="United States"/>
    <x v="190"/>
    <x v="0"/>
    <x v="0"/>
    <s v="FUR-FU-10004748"/>
    <s v="Furniture"/>
    <x v="3"/>
    <s v="Howard Miller 16&quot; Diameter Gallery Wall Clock"/>
    <n v="191.82"/>
    <n v="3"/>
    <n v="74.809799999999996"/>
    <x v="5"/>
    <x v="5"/>
  </r>
  <r>
    <s v="US-2015-138919"/>
    <x v="5"/>
    <d v="2015-09-21T00:00:00"/>
    <x v="1"/>
    <s v="LS-16975"/>
    <s v="Lindsay Shagiari"/>
    <x v="2"/>
    <s v="United States"/>
    <x v="13"/>
    <x v="7"/>
    <x v="2"/>
    <s v="FUR-TA-10004154"/>
    <s v="Furniture"/>
    <x v="2"/>
    <s v="Riverside Furniture Oval Coffee Table, Oval End Table, End Table with Drawer"/>
    <n v="344.22"/>
    <n v="2"/>
    <n v="-103.26600000000001"/>
    <x v="4"/>
    <x v="4"/>
  </r>
  <r>
    <s v="US-2016-160528"/>
    <x v="427"/>
    <d v="2016-08-30T00:00:00"/>
    <x v="1"/>
    <s v="MH-18115"/>
    <s v="Mick Hernandez"/>
    <x v="2"/>
    <s v="United States"/>
    <x v="191"/>
    <x v="5"/>
    <x v="3"/>
    <s v="FUR-FU-10004973"/>
    <s v="Furniture"/>
    <x v="3"/>
    <s v="Flat Face Poster Frame"/>
    <n v="22.608000000000001"/>
    <n v="3"/>
    <n v="-10.1736"/>
    <x v="1"/>
    <x v="10"/>
  </r>
  <r>
    <s v="CA-2015-123568"/>
    <x v="428"/>
    <d v="2015-11-14T00:00:00"/>
    <x v="1"/>
    <s v="SC-20095"/>
    <s v="Sanjit Chand"/>
    <x v="0"/>
    <s v="United States"/>
    <x v="192"/>
    <x v="4"/>
    <x v="1"/>
    <s v="FUR-FU-10004090"/>
    <s v="Furniture"/>
    <x v="3"/>
    <s v="Executive Impressions 14&quot; Contract Wall Clock"/>
    <n v="66.69"/>
    <n v="3"/>
    <n v="22.0077"/>
    <x v="6"/>
    <x v="0"/>
  </r>
  <r>
    <s v="CA-2017-124674"/>
    <x v="429"/>
    <d v="2017-11-23T00:00:00"/>
    <x v="1"/>
    <s v="JB-16000"/>
    <s v="Joy Bell-"/>
    <x v="0"/>
    <s v="United States"/>
    <x v="193"/>
    <x v="5"/>
    <x v="3"/>
    <s v="FUR-BO-10002202"/>
    <s v="Furniture"/>
    <x v="0"/>
    <s v="Atlantic Metals Mobile 2-Shelf Bookcases, Custom Colors"/>
    <n v="327.7328"/>
    <n v="2"/>
    <n v="-14.4588"/>
    <x v="6"/>
    <x v="0"/>
  </r>
  <r>
    <s v="CA-2017-169054"/>
    <x v="135"/>
    <d v="2017-04-26T00:00:00"/>
    <x v="1"/>
    <s v="MO-17800"/>
    <s v="Meg O'Connel"/>
    <x v="2"/>
    <s v="United States"/>
    <x v="3"/>
    <x v="3"/>
    <x v="2"/>
    <s v="FUR-FU-10001488"/>
    <s v="Furniture"/>
    <x v="3"/>
    <s v="Tenex 46&quot; x 60&quot; Computer Anti-Static Chairmat, Rectangular Shaped"/>
    <n v="254.352"/>
    <n v="3"/>
    <n v="0"/>
    <x v="4"/>
    <x v="6"/>
  </r>
  <r>
    <s v="CA-2017-116855"/>
    <x v="430"/>
    <d v="2017-12-21T00:00:00"/>
    <x v="1"/>
    <s v="AI-10855"/>
    <s v="Arianne Irving"/>
    <x v="0"/>
    <s v="United States"/>
    <x v="180"/>
    <x v="25"/>
    <x v="0"/>
    <s v="FUR-CH-10003846"/>
    <s v="Furniture"/>
    <x v="1"/>
    <s v="Hon Valutask Swivel Chairs"/>
    <n v="504.9"/>
    <n v="5"/>
    <n v="80.784000000000006"/>
    <x v="4"/>
    <x v="5"/>
  </r>
  <r>
    <s v="CA-2015-168480"/>
    <x v="231"/>
    <d v="2015-09-27T00:00:00"/>
    <x v="1"/>
    <s v="DM-12955"/>
    <s v="Dario Medina"/>
    <x v="1"/>
    <s v="United States"/>
    <x v="194"/>
    <x v="17"/>
    <x v="3"/>
    <s v="FUR-BO-10000468"/>
    <s v="Furniture"/>
    <x v="0"/>
    <s v="O'Sullivan 2-Shelf Heavy-Duty Bookcases"/>
    <n v="194.32"/>
    <n v="4"/>
    <n v="31.091200000000001"/>
    <x v="6"/>
    <x v="4"/>
  </r>
  <r>
    <s v="US-2016-114293"/>
    <x v="431"/>
    <d v="2016-11-26T00:00:00"/>
    <x v="1"/>
    <s v="JH-16180"/>
    <s v="Justin Hirsh"/>
    <x v="0"/>
    <s v="United States"/>
    <x v="195"/>
    <x v="36"/>
    <x v="1"/>
    <s v="FUR-CH-10003833"/>
    <s v="Furniture"/>
    <x v="1"/>
    <s v="Novimex Fabric Task Chair"/>
    <n v="195.136"/>
    <n v="4"/>
    <n v="-12.196"/>
    <x v="2"/>
    <x v="0"/>
  </r>
  <r>
    <s v="US-2015-123960"/>
    <x v="432"/>
    <d v="2015-06-16T00:00:00"/>
    <x v="1"/>
    <s v="BD-11605"/>
    <s v="Brian Dahlen"/>
    <x v="0"/>
    <s v="United States"/>
    <x v="91"/>
    <x v="35"/>
    <x v="0"/>
    <s v="FUR-FU-10004666"/>
    <s v="Furniture"/>
    <x v="3"/>
    <s v="DAX Clear Channel Poster Frame"/>
    <n v="29.16"/>
    <n v="2"/>
    <n v="10.789199999999999"/>
    <x v="2"/>
    <x v="2"/>
  </r>
  <r>
    <s v="CA-2017-101749"/>
    <x v="433"/>
    <d v="2017-10-08T00:00:00"/>
    <x v="1"/>
    <s v="AS-10045"/>
    <s v="Aaron Smayling"/>
    <x v="1"/>
    <s v="United States"/>
    <x v="102"/>
    <x v="2"/>
    <x v="1"/>
    <s v="FUR-TA-10001520"/>
    <s v="Furniture"/>
    <x v="2"/>
    <s v="Lesro Sheffield Collection Coffee Table, End Table, Center Table, Corner Table"/>
    <n v="171.28800000000001"/>
    <n v="3"/>
    <n v="-6.4233000000000002"/>
    <x v="2"/>
    <x v="1"/>
  </r>
  <r>
    <s v="US-2016-147991"/>
    <x v="399"/>
    <d v="2016-05-09T00:00:00"/>
    <x v="1"/>
    <s v="ZD-21925"/>
    <s v="Zuschuss Donatelli"/>
    <x v="0"/>
    <s v="United States"/>
    <x v="196"/>
    <x v="9"/>
    <x v="0"/>
    <s v="FUR-FU-10004270"/>
    <s v="Furniture"/>
    <x v="3"/>
    <s v="Eldon Image Series Desk Accessories, Burgundy"/>
    <n v="16.72"/>
    <n v="5"/>
    <n v="3.3439999999999999"/>
    <x v="4"/>
    <x v="7"/>
  </r>
  <r>
    <s v="CA-2017-149559"/>
    <x v="91"/>
    <d v="2017-09-12T00:00:00"/>
    <x v="3"/>
    <s v="KF-16285"/>
    <s v="Karen Ferguson"/>
    <x v="2"/>
    <s v="United States"/>
    <x v="62"/>
    <x v="2"/>
    <x v="1"/>
    <s v="FUR-CH-10002320"/>
    <s v="Furniture"/>
    <x v="1"/>
    <s v="Hon Pagoda Stacking Chairs"/>
    <n v="2054.2719999999999"/>
    <n v="8"/>
    <n v="256.78399999999999"/>
    <x v="5"/>
    <x v="4"/>
  </r>
  <r>
    <s v="CA-2017-121419"/>
    <x v="214"/>
    <d v="2017-04-04T00:00:00"/>
    <x v="2"/>
    <s v="TC-21475"/>
    <s v="Tony Chapman"/>
    <x v="2"/>
    <s v="United States"/>
    <x v="29"/>
    <x v="24"/>
    <x v="0"/>
    <s v="FUR-TA-10004534"/>
    <s v="Furniture"/>
    <x v="2"/>
    <s v="Bevis 44 x 96 Conference Tables"/>
    <n v="411.8"/>
    <n v="2"/>
    <n v="70.006"/>
    <x v="3"/>
    <x v="6"/>
  </r>
  <r>
    <s v="US-2017-148054"/>
    <x v="434"/>
    <d v="2017-10-11T00:00:00"/>
    <x v="1"/>
    <s v="NZ-18565"/>
    <s v="Nick Zandusky"/>
    <x v="2"/>
    <s v="United States"/>
    <x v="197"/>
    <x v="42"/>
    <x v="1"/>
    <s v="FUR-FU-10003247"/>
    <s v="Furniture"/>
    <x v="3"/>
    <s v="36X48 HARDFLOOR CHAIRMAT"/>
    <n v="41.96"/>
    <n v="2"/>
    <n v="2.9371999999999998"/>
    <x v="2"/>
    <x v="1"/>
  </r>
  <r>
    <s v="CA-2017-131492"/>
    <x v="66"/>
    <d v="2017-10-24T00:00:00"/>
    <x v="0"/>
    <s v="HH-15010"/>
    <s v="Hilary Holden"/>
    <x v="1"/>
    <s v="United States"/>
    <x v="28"/>
    <x v="2"/>
    <x v="1"/>
    <s v="FUR-FU-10003878"/>
    <s v="Furniture"/>
    <x v="3"/>
    <s v="Linden 10&quot; Round Wall Clock, Black"/>
    <n v="30.56"/>
    <n v="2"/>
    <n v="10.3904"/>
    <x v="2"/>
    <x v="1"/>
  </r>
  <r>
    <s v="CA-2017-131492"/>
    <x v="66"/>
    <d v="2017-10-24T00:00:00"/>
    <x v="0"/>
    <s v="HH-15010"/>
    <s v="Hilary Holden"/>
    <x v="1"/>
    <s v="United States"/>
    <x v="28"/>
    <x v="2"/>
    <x v="1"/>
    <s v="FUR-TA-10003837"/>
    <s v="Furniture"/>
    <x v="2"/>
    <s v="Anderson Hickey Conga Table Tops &amp; Accessories"/>
    <n v="24.367999999999999"/>
    <n v="2"/>
    <n v="-3.3506"/>
    <x v="2"/>
    <x v="1"/>
  </r>
  <r>
    <s v="CA-2014-119375"/>
    <x v="317"/>
    <d v="2014-11-22T00:00:00"/>
    <x v="1"/>
    <s v="YC-21895"/>
    <s v="Yoseph Carroll"/>
    <x v="1"/>
    <s v="United States"/>
    <x v="19"/>
    <x v="14"/>
    <x v="2"/>
    <s v="FUR-FU-10002379"/>
    <s v="Furniture"/>
    <x v="3"/>
    <s v="Eldon Econocleat Chair Mats for Low Pile Carpets"/>
    <n v="124.41"/>
    <n v="3"/>
    <n v="14.9292"/>
    <x v="2"/>
    <x v="0"/>
  </r>
  <r>
    <s v="CA-2015-126137"/>
    <x v="131"/>
    <d v="2015-10-08T00:00:00"/>
    <x v="1"/>
    <s v="BS-11755"/>
    <s v="Bruce Stewart"/>
    <x v="0"/>
    <s v="United States"/>
    <x v="2"/>
    <x v="2"/>
    <x v="1"/>
    <s v="FUR-BO-10004409"/>
    <s v="Furniture"/>
    <x v="0"/>
    <s v="Safco Value Mate Series Steel Bookcases, Baked Enamel Finish on Steel, Gray"/>
    <n v="120.666"/>
    <n v="2"/>
    <n v="18.454799999999999"/>
    <x v="2"/>
    <x v="1"/>
  </r>
  <r>
    <s v="CA-2014-143903"/>
    <x v="435"/>
    <d v="2014-07-24T00:00:00"/>
    <x v="1"/>
    <s v="KM-16375"/>
    <s v="Katherine Murray"/>
    <x v="2"/>
    <s v="United States"/>
    <x v="144"/>
    <x v="5"/>
    <x v="3"/>
    <s v="FUR-FU-10003724"/>
    <s v="Furniture"/>
    <x v="3"/>
    <s v="Westinghouse Clip-On Gooseneck Lamps"/>
    <n v="16.739999999999998"/>
    <n v="5"/>
    <n v="-14.228999999999999"/>
    <x v="4"/>
    <x v="3"/>
  </r>
  <r>
    <s v="CA-2014-143903"/>
    <x v="435"/>
    <d v="2014-07-24T00:00:00"/>
    <x v="1"/>
    <s v="KM-16375"/>
    <s v="Katherine Murray"/>
    <x v="2"/>
    <s v="United States"/>
    <x v="144"/>
    <x v="5"/>
    <x v="3"/>
    <s v="FUR-CH-10002024"/>
    <s v="Furniture"/>
    <x v="1"/>
    <s v="HON 5400 Series Task Chairs for Big and Tall"/>
    <n v="981.37199999999996"/>
    <n v="2"/>
    <n v="-140.196"/>
    <x v="4"/>
    <x v="3"/>
  </r>
  <r>
    <s v="CA-2017-118773"/>
    <x v="436"/>
    <d v="2017-02-14T00:00:00"/>
    <x v="1"/>
    <s v="TP-21415"/>
    <s v="Tom Prescott"/>
    <x v="0"/>
    <s v="United States"/>
    <x v="6"/>
    <x v="5"/>
    <x v="3"/>
    <s v="FUR-FU-10000550"/>
    <s v="Furniture"/>
    <x v="3"/>
    <s v="Stacking Trays by OIC"/>
    <n v="3.984"/>
    <n v="2"/>
    <n v="-2.6892"/>
    <x v="2"/>
    <x v="11"/>
  </r>
  <r>
    <s v="US-2017-159205"/>
    <x v="76"/>
    <d v="2017-04-02T00:00:00"/>
    <x v="0"/>
    <s v="DB-12910"/>
    <s v="Daniel Byrd"/>
    <x v="2"/>
    <s v="United States"/>
    <x v="0"/>
    <x v="0"/>
    <x v="0"/>
    <s v="FUR-FU-10001591"/>
    <s v="Furniture"/>
    <x v="3"/>
    <s v="Advantus Panel Wall Certificate Holder - 8.5x11"/>
    <n v="61"/>
    <n v="5"/>
    <n v="25.62"/>
    <x v="3"/>
    <x v="9"/>
  </r>
  <r>
    <s v="CA-2017-135692"/>
    <x v="437"/>
    <d v="2017-05-01T00:00:00"/>
    <x v="1"/>
    <s v="CV-12805"/>
    <s v="Cynthia Voltz"/>
    <x v="1"/>
    <s v="United States"/>
    <x v="50"/>
    <x v="5"/>
    <x v="3"/>
    <s v="FUR-BO-10002268"/>
    <s v="Furniture"/>
    <x v="0"/>
    <s v="Sauder Barrister Bookcases"/>
    <n v="220.26560000000001"/>
    <n v="4"/>
    <n v="-42.1096"/>
    <x v="4"/>
    <x v="6"/>
  </r>
  <r>
    <s v="CA-2017-131233"/>
    <x v="438"/>
    <d v="2017-04-19T00:00:00"/>
    <x v="1"/>
    <s v="CS-12355"/>
    <s v="Christine Sundaresam"/>
    <x v="0"/>
    <s v="United States"/>
    <x v="13"/>
    <x v="7"/>
    <x v="2"/>
    <s v="FUR-BO-10003441"/>
    <s v="Furniture"/>
    <x v="0"/>
    <s v="Bush Westfield Collection Bookcases, Fully Assembled"/>
    <n v="242.352"/>
    <n v="3"/>
    <n v="9.0882000000000005"/>
    <x v="2"/>
    <x v="6"/>
  </r>
  <r>
    <s v="CA-2017-119578"/>
    <x v="313"/>
    <d v="2017-12-27T00:00:00"/>
    <x v="0"/>
    <s v="JG-15310"/>
    <s v="Jason Gross"/>
    <x v="1"/>
    <s v="United States"/>
    <x v="134"/>
    <x v="38"/>
    <x v="2"/>
    <s v="FUR-BO-10003660"/>
    <s v="Furniture"/>
    <x v="0"/>
    <s v="Bush Cubix Collection Bookcases, Fully Assembled"/>
    <n v="220.98"/>
    <n v="1"/>
    <n v="50.825400000000002"/>
    <x v="2"/>
    <x v="5"/>
  </r>
  <r>
    <s v="CA-2016-150350"/>
    <x v="427"/>
    <d v="2016-08-30T00:00:00"/>
    <x v="1"/>
    <s v="MS-17770"/>
    <s v="Maxwell Schwartz"/>
    <x v="0"/>
    <s v="United States"/>
    <x v="15"/>
    <x v="13"/>
    <x v="1"/>
    <s v="FUR-CH-10001973"/>
    <s v="Furniture"/>
    <x v="1"/>
    <s v="Office Star Flex Back Scooter Chair with White Frame"/>
    <n v="532.70399999999995"/>
    <n v="6"/>
    <n v="-39.952800000000003"/>
    <x v="1"/>
    <x v="10"/>
  </r>
  <r>
    <s v="CA-2015-121720"/>
    <x v="432"/>
    <d v="2015-06-12T00:00:00"/>
    <x v="2"/>
    <s v="JE-15610"/>
    <s v="Jim Epp"/>
    <x v="1"/>
    <s v="United States"/>
    <x v="49"/>
    <x v="1"/>
    <x v="0"/>
    <s v="FUR-CH-10003312"/>
    <s v="Furniture"/>
    <x v="1"/>
    <s v="Hon 2090 ÒPillow SoftÓ Series Mid Back Swivel/Tilt Chairs"/>
    <n v="1123.92"/>
    <n v="5"/>
    <n v="-182.637"/>
    <x v="5"/>
    <x v="2"/>
  </r>
  <r>
    <s v="CA-2015-121720"/>
    <x v="432"/>
    <d v="2015-06-12T00:00:00"/>
    <x v="2"/>
    <s v="JE-15610"/>
    <s v="Jim Epp"/>
    <x v="1"/>
    <s v="United States"/>
    <x v="49"/>
    <x v="1"/>
    <x v="0"/>
    <s v="FUR-FU-10003464"/>
    <s v="Furniture"/>
    <x v="3"/>
    <s v="Seth Thomas 8 1/2&quot; Cubicle Clock"/>
    <n v="48.671999999999997"/>
    <n v="3"/>
    <n v="7.3007999999999997"/>
    <x v="5"/>
    <x v="2"/>
  </r>
  <r>
    <s v="CA-2014-136399"/>
    <x v="439"/>
    <d v="2014-12-17T00:00:00"/>
    <x v="2"/>
    <s v="CC-12100"/>
    <s v="Chad Cunningham"/>
    <x v="2"/>
    <s v="United States"/>
    <x v="2"/>
    <x v="2"/>
    <x v="1"/>
    <s v="FUR-FU-10004090"/>
    <s v="Furniture"/>
    <x v="3"/>
    <s v="Executive Impressions 14&quot; Contract Wall Clock"/>
    <n v="44.46"/>
    <n v="2"/>
    <n v="14.671799999999999"/>
    <x v="5"/>
    <x v="5"/>
  </r>
  <r>
    <s v="CA-2014-136399"/>
    <x v="439"/>
    <d v="2014-12-17T00:00:00"/>
    <x v="2"/>
    <s v="CC-12100"/>
    <s v="Chad Cunningham"/>
    <x v="2"/>
    <s v="United States"/>
    <x v="2"/>
    <x v="2"/>
    <x v="1"/>
    <s v="FUR-CH-10002602"/>
    <s v="Furniture"/>
    <x v="1"/>
    <s v="DMI Arturo Collection Mission-style Design Wood Chair"/>
    <n v="241.56800000000001"/>
    <n v="2"/>
    <n v="18.117599999999999"/>
    <x v="5"/>
    <x v="5"/>
  </r>
  <r>
    <s v="CA-2014-107916"/>
    <x v="440"/>
    <d v="2014-08-26T00:00:00"/>
    <x v="2"/>
    <s v="JP-15460"/>
    <s v="Jennifer Patt"/>
    <x v="1"/>
    <s v="United States"/>
    <x v="64"/>
    <x v="7"/>
    <x v="2"/>
    <s v="FUR-FU-10004586"/>
    <s v="Furniture"/>
    <x v="3"/>
    <s v="G.E. Longer-Life Indoor Recessed Floodlight Bulbs"/>
    <n v="13.28"/>
    <n v="2"/>
    <n v="6.3743999999999996"/>
    <x v="3"/>
    <x v="10"/>
  </r>
  <r>
    <s v="CA-2017-164168"/>
    <x v="418"/>
    <d v="2017-11-18T00:00:00"/>
    <x v="1"/>
    <s v="LS-16975"/>
    <s v="Lindsay Shagiari"/>
    <x v="2"/>
    <s v="United States"/>
    <x v="144"/>
    <x v="5"/>
    <x v="3"/>
    <s v="FUR-FU-10001756"/>
    <s v="Furniture"/>
    <x v="3"/>
    <s v="Eldon Expressions Desk Accessory, Wood Photo Frame, Mahogany"/>
    <n v="22.847999999999999"/>
    <n v="3"/>
    <n v="-17.7072"/>
    <x v="6"/>
    <x v="0"/>
  </r>
  <r>
    <s v="US-2016-148110"/>
    <x v="26"/>
    <d v="2016-09-11T00:00:00"/>
    <x v="1"/>
    <s v="AR-10825"/>
    <s v="Anthony Rawles"/>
    <x v="1"/>
    <s v="United States"/>
    <x v="198"/>
    <x v="5"/>
    <x v="3"/>
    <s v="FUR-CH-10002647"/>
    <s v="Furniture"/>
    <x v="1"/>
    <s v="Situations Contoured Folding Chairs, 4/Set"/>
    <n v="347.80200000000002"/>
    <n v="7"/>
    <n v="-24.843"/>
    <x v="6"/>
    <x v="4"/>
  </r>
  <r>
    <s v="CA-2017-131828"/>
    <x v="441"/>
    <d v="2017-02-13T00:00:00"/>
    <x v="0"/>
    <s v="CS-11845"/>
    <s v="Cari Sayre"/>
    <x v="1"/>
    <s v="United States"/>
    <x v="15"/>
    <x v="13"/>
    <x v="1"/>
    <s v="FUR-CH-10004495"/>
    <s v="Furniture"/>
    <x v="1"/>
    <s v="Global Leather and Oak Executive Chair, Black"/>
    <n v="963.13599999999997"/>
    <n v="4"/>
    <n v="108.3528"/>
    <x v="3"/>
    <x v="11"/>
  </r>
  <r>
    <s v="CA-2015-147830"/>
    <x v="442"/>
    <d v="2015-12-18T00:00:00"/>
    <x v="2"/>
    <s v="NF-18385"/>
    <s v="Natalie Fritzler"/>
    <x v="0"/>
    <s v="United States"/>
    <x v="19"/>
    <x v="15"/>
    <x v="2"/>
    <s v="FUR-FU-10004091"/>
    <s v="Furniture"/>
    <x v="3"/>
    <s v="Howard Miller 13&quot; Diameter Goldtone Round Wall Clock"/>
    <n v="262.86399999999998"/>
    <n v="7"/>
    <n v="69.001800000000003"/>
    <x v="0"/>
    <x v="5"/>
  </r>
  <r>
    <s v="CA-2015-139584"/>
    <x v="108"/>
    <d v="2015-08-28T00:00:00"/>
    <x v="1"/>
    <s v="EM-13810"/>
    <s v="Eleni McCrary"/>
    <x v="1"/>
    <s v="United States"/>
    <x v="13"/>
    <x v="7"/>
    <x v="2"/>
    <s v="FUR-TA-10001539"/>
    <s v="Furniture"/>
    <x v="2"/>
    <s v="Chromcraft Rectangular Conference Tables"/>
    <n v="284.36399999999998"/>
    <n v="2"/>
    <n v="-75.830399999999997"/>
    <x v="4"/>
    <x v="10"/>
  </r>
  <r>
    <s v="CA-2016-146682"/>
    <x v="443"/>
    <d v="2016-10-31T00:00:00"/>
    <x v="2"/>
    <s v="KW-16435"/>
    <s v="Katrina Willman"/>
    <x v="0"/>
    <s v="United States"/>
    <x v="140"/>
    <x v="17"/>
    <x v="3"/>
    <s v="FUR-FU-10002671"/>
    <s v="Furniture"/>
    <x v="3"/>
    <s v="Electrix 20W Halogen Replacement Bulb for Zoom-In Desk Lamp"/>
    <n v="67"/>
    <n v="5"/>
    <n v="32.159999999999997"/>
    <x v="3"/>
    <x v="1"/>
  </r>
  <r>
    <s v="CA-2016-138695"/>
    <x v="444"/>
    <d v="2016-06-03T00:00:00"/>
    <x v="1"/>
    <s v="KC-16675"/>
    <s v="Kimberly Carter"/>
    <x v="1"/>
    <s v="United States"/>
    <x v="199"/>
    <x v="1"/>
    <x v="0"/>
    <s v="FUR-CH-10003833"/>
    <s v="Furniture"/>
    <x v="1"/>
    <s v="Novimex Fabric Task Chair"/>
    <n v="390.27199999999999"/>
    <n v="8"/>
    <n v="-24.391999999999999"/>
    <x v="6"/>
    <x v="7"/>
  </r>
  <r>
    <s v="US-2016-133879"/>
    <x v="445"/>
    <d v="2016-03-28T00:00:00"/>
    <x v="1"/>
    <s v="KT-16465"/>
    <s v="Kean Takahito"/>
    <x v="0"/>
    <s v="United States"/>
    <x v="9"/>
    <x v="8"/>
    <x v="3"/>
    <s v="FUR-CH-10000665"/>
    <s v="Furniture"/>
    <x v="1"/>
    <s v="Global Airflow Leather Mesh Back Chair, Black"/>
    <n v="528.42999999999995"/>
    <n v="5"/>
    <n v="0"/>
    <x v="1"/>
    <x v="9"/>
  </r>
  <r>
    <s v="US-2017-132059"/>
    <x v="204"/>
    <d v="2017-09-29T00:00:00"/>
    <x v="1"/>
    <s v="AP-10915"/>
    <s v="Arthur Prichep"/>
    <x v="0"/>
    <s v="United States"/>
    <x v="200"/>
    <x v="12"/>
    <x v="1"/>
    <s v="FUR-BO-10001811"/>
    <s v="Furniture"/>
    <x v="0"/>
    <s v="Atlantic Metals Mobile 5-Shelf Bookcases, Custom Colors"/>
    <n v="180.58799999999999"/>
    <n v="2"/>
    <n v="-240.78399999999999"/>
    <x v="6"/>
    <x v="4"/>
  </r>
  <r>
    <s v="CA-2017-105235"/>
    <x v="446"/>
    <d v="2017-12-11T00:00:00"/>
    <x v="1"/>
    <s v="SM-20950"/>
    <s v="Suzanne McNair"/>
    <x v="1"/>
    <s v="United States"/>
    <x v="13"/>
    <x v="7"/>
    <x v="2"/>
    <s v="FUR-FU-10001487"/>
    <s v="Furniture"/>
    <x v="3"/>
    <s v="Eldon Expressions Wood and Plastic Desk Accessories, Cherry Wood"/>
    <n v="20.94"/>
    <n v="3"/>
    <n v="6.0726000000000004"/>
    <x v="6"/>
    <x v="5"/>
  </r>
  <r>
    <s v="CA-2017-105235"/>
    <x v="446"/>
    <d v="2017-12-11T00:00:00"/>
    <x v="1"/>
    <s v="SM-20950"/>
    <s v="Suzanne McNair"/>
    <x v="1"/>
    <s v="United States"/>
    <x v="13"/>
    <x v="7"/>
    <x v="2"/>
    <s v="FUR-FU-10000521"/>
    <s v="Furniture"/>
    <x v="3"/>
    <s v="Seth Thomas 14&quot; Putty-Colored Wall Clock"/>
    <n v="58.68"/>
    <n v="2"/>
    <n v="18.190799999999999"/>
    <x v="6"/>
    <x v="5"/>
  </r>
  <r>
    <s v="CA-2014-164224"/>
    <x v="447"/>
    <d v="2014-05-20T00:00:00"/>
    <x v="0"/>
    <s v="TT-21070"/>
    <s v="Ted Trevino"/>
    <x v="0"/>
    <s v="United States"/>
    <x v="40"/>
    <x v="15"/>
    <x v="2"/>
    <s v="FUR-FU-10000308"/>
    <s v="Furniture"/>
    <x v="3"/>
    <s v="Deflect-o Glass Clear Studded Chair Mats"/>
    <n v="149.232"/>
    <n v="3"/>
    <n v="3.7307999999999999"/>
    <x v="3"/>
    <x v="7"/>
  </r>
  <r>
    <s v="CA-2014-158372"/>
    <x v="448"/>
    <d v="2014-11-16T00:00:00"/>
    <x v="1"/>
    <s v="RD-19900"/>
    <s v="Ruben Dartt"/>
    <x v="0"/>
    <s v="United States"/>
    <x v="53"/>
    <x v="2"/>
    <x v="1"/>
    <s v="FUR-FU-10000397"/>
    <s v="Furniture"/>
    <x v="3"/>
    <s v="Luxo Economy Swing Arm Lamp"/>
    <n v="39.880000000000003"/>
    <n v="2"/>
    <n v="11.166399999999999"/>
    <x v="6"/>
    <x v="0"/>
  </r>
  <r>
    <s v="CA-2014-158372"/>
    <x v="448"/>
    <d v="2014-11-16T00:00:00"/>
    <x v="1"/>
    <s v="RD-19900"/>
    <s v="Ruben Dartt"/>
    <x v="0"/>
    <s v="United States"/>
    <x v="53"/>
    <x v="2"/>
    <x v="1"/>
    <s v="FUR-FU-10001867"/>
    <s v="Furniture"/>
    <x v="3"/>
    <s v="Eldon Expressions Punched Metal &amp; Wood Desk Accessories, Pewter &amp; Cherry"/>
    <n v="53.2"/>
    <n v="5"/>
    <n v="14.896000000000001"/>
    <x v="6"/>
    <x v="0"/>
  </r>
  <r>
    <s v="CA-2017-131625"/>
    <x v="449"/>
    <d v="2017-09-05T00:00:00"/>
    <x v="0"/>
    <s v="BN-11515"/>
    <s v="Bradley Nguyen"/>
    <x v="0"/>
    <s v="United States"/>
    <x v="13"/>
    <x v="7"/>
    <x v="2"/>
    <s v="FUR-FU-10004960"/>
    <s v="Furniture"/>
    <x v="3"/>
    <s v="Seth Thomas 12&quot; Clock w/ Goldtone Case"/>
    <n v="114.9"/>
    <n v="5"/>
    <n v="39.066000000000003"/>
    <x v="4"/>
    <x v="4"/>
  </r>
  <r>
    <s v="CA-2016-140746"/>
    <x v="450"/>
    <d v="2016-01-15T00:00:00"/>
    <x v="3"/>
    <s v="RC-19825"/>
    <s v="Roy Collins"/>
    <x v="0"/>
    <s v="United States"/>
    <x v="130"/>
    <x v="19"/>
    <x v="2"/>
    <s v="FUR-TA-10002903"/>
    <s v="Furniture"/>
    <x v="2"/>
    <s v="Bevis Round Bullnose 29&quot; High Table Top"/>
    <n v="181.797"/>
    <n v="1"/>
    <n v="-15.582599999999999"/>
    <x v="7"/>
    <x v="8"/>
  </r>
  <r>
    <s v="US-2016-127971"/>
    <x v="47"/>
    <d v="2016-11-27T00:00:00"/>
    <x v="1"/>
    <s v="DW-13195"/>
    <s v="David Wiener"/>
    <x v="1"/>
    <s v="United States"/>
    <x v="6"/>
    <x v="5"/>
    <x v="3"/>
    <s v="FUR-CH-10003774"/>
    <s v="Furniture"/>
    <x v="1"/>
    <s v="Global Wood Trimmed Manager's Task Chair, Khaki"/>
    <n v="318.43"/>
    <n v="5"/>
    <n v="-77.332999999999998"/>
    <x v="1"/>
    <x v="0"/>
  </r>
  <r>
    <s v="US-2016-127971"/>
    <x v="47"/>
    <d v="2016-11-27T00:00:00"/>
    <x v="1"/>
    <s v="DW-13195"/>
    <s v="David Wiener"/>
    <x v="1"/>
    <s v="United States"/>
    <x v="6"/>
    <x v="5"/>
    <x v="3"/>
    <s v="FUR-FU-10000023"/>
    <s v="Furniture"/>
    <x v="3"/>
    <s v="Eldon Wave Desk Accessories"/>
    <n v="7.0679999999999996"/>
    <n v="3"/>
    <n v="-2.8271999999999999"/>
    <x v="1"/>
    <x v="0"/>
  </r>
  <r>
    <s v="CA-2017-113355"/>
    <x v="451"/>
    <d v="2017-12-05T00:00:00"/>
    <x v="1"/>
    <s v="SJ-20215"/>
    <s v="Sarah Jordon"/>
    <x v="0"/>
    <s v="United States"/>
    <x v="141"/>
    <x v="5"/>
    <x v="3"/>
    <s v="FUR-CH-10002602"/>
    <s v="Furniture"/>
    <x v="1"/>
    <s v="DMI Arturo Collection Mission-style Design Wood Chair"/>
    <n v="317.05799999999999"/>
    <n v="3"/>
    <n v="-18.117599999999999"/>
    <x v="4"/>
    <x v="5"/>
  </r>
  <r>
    <s v="CA-2016-159730"/>
    <x v="334"/>
    <d v="2016-09-21T00:00:00"/>
    <x v="1"/>
    <s v="SJ-20125"/>
    <s v="Sanjit Jacobs"/>
    <x v="2"/>
    <s v="United States"/>
    <x v="15"/>
    <x v="13"/>
    <x v="1"/>
    <s v="FUR-CH-10004875"/>
    <s v="Furniture"/>
    <x v="1"/>
    <s v="Harbour Creations 67200 Series Stacking Chairs"/>
    <n v="113.88800000000001"/>
    <n v="2"/>
    <n v="9.9651999999999994"/>
    <x v="4"/>
    <x v="4"/>
  </r>
  <r>
    <s v="CA-2017-119389"/>
    <x v="452"/>
    <d v="2017-04-19T00:00:00"/>
    <x v="2"/>
    <s v="BG-11740"/>
    <s v="Bruce Geld"/>
    <x v="0"/>
    <s v="United States"/>
    <x v="3"/>
    <x v="3"/>
    <x v="2"/>
    <s v="FUR-FU-10001473"/>
    <s v="Furniture"/>
    <x v="3"/>
    <s v="Eldon Executive Woodline II Desk Accessories, Mahogany"/>
    <n v="60.311999999999998"/>
    <n v="3"/>
    <n v="5.2773000000000003"/>
    <x v="3"/>
    <x v="6"/>
  </r>
  <r>
    <s v="US-2016-161844"/>
    <x v="453"/>
    <d v="2016-12-14T00:00:00"/>
    <x v="0"/>
    <s v="DK-12835"/>
    <s v="Damala Kotsonis"/>
    <x v="1"/>
    <s v="United States"/>
    <x v="20"/>
    <x v="9"/>
    <x v="0"/>
    <s v="FUR-TA-10001676"/>
    <s v="Furniture"/>
    <x v="2"/>
    <s v="Hon 61000 Series Interactive Training Tables"/>
    <n v="79.974000000000004"/>
    <n v="3"/>
    <n v="-29.323799999999999"/>
    <x v="2"/>
    <x v="5"/>
  </r>
  <r>
    <s v="CA-2015-146038"/>
    <x v="289"/>
    <d v="2015-02-16T00:00:00"/>
    <x v="1"/>
    <s v="SJ-20215"/>
    <s v="Sarah Jordon"/>
    <x v="0"/>
    <s v="United States"/>
    <x v="2"/>
    <x v="2"/>
    <x v="1"/>
    <s v="FUR-CH-10002774"/>
    <s v="Furniture"/>
    <x v="1"/>
    <s v="Global Deluxe Stacking Chair, Gray"/>
    <n v="203.92"/>
    <n v="5"/>
    <n v="22.940999999999999"/>
    <x v="1"/>
    <x v="11"/>
  </r>
  <r>
    <s v="CA-2014-159478"/>
    <x v="454"/>
    <d v="2014-10-06T00:00:00"/>
    <x v="1"/>
    <s v="MH-17785"/>
    <s v="Maya Herman"/>
    <x v="1"/>
    <s v="United States"/>
    <x v="13"/>
    <x v="7"/>
    <x v="2"/>
    <s v="FUR-FU-10000221"/>
    <s v="Furniture"/>
    <x v="3"/>
    <s v="Master Caster Door Stop, Brown"/>
    <n v="15.24"/>
    <n v="3"/>
    <n v="5.1816000000000004"/>
    <x v="6"/>
    <x v="4"/>
  </r>
  <r>
    <s v="CA-2014-106264"/>
    <x v="22"/>
    <d v="2014-12-30T00:00:00"/>
    <x v="1"/>
    <s v="CK-12595"/>
    <s v="Clytie Kelty"/>
    <x v="0"/>
    <s v="United States"/>
    <x v="53"/>
    <x v="2"/>
    <x v="1"/>
    <s v="FUR-FU-10001852"/>
    <s v="Furniture"/>
    <x v="3"/>
    <s v="Eldon Regeneration Recycled Desk Accessories, Smoke"/>
    <n v="3.48"/>
    <n v="2"/>
    <n v="1.1135999999999999"/>
    <x v="4"/>
    <x v="5"/>
  </r>
  <r>
    <s v="US-2014-159926"/>
    <x v="356"/>
    <d v="2014-11-22T00:00:00"/>
    <x v="1"/>
    <s v="CS-11950"/>
    <s v="Carlos Soltero"/>
    <x v="0"/>
    <s v="United States"/>
    <x v="3"/>
    <x v="3"/>
    <x v="2"/>
    <s v="FUR-FU-10001473"/>
    <s v="Furniture"/>
    <x v="3"/>
    <s v="Eldon Executive Woodline II Desk Accessories, Mahogany"/>
    <n v="60.311999999999998"/>
    <n v="3"/>
    <n v="5.2773000000000003"/>
    <x v="4"/>
    <x v="0"/>
  </r>
  <r>
    <s v="CA-2016-162747"/>
    <x v="174"/>
    <d v="2016-03-25T00:00:00"/>
    <x v="0"/>
    <s v="AH-10030"/>
    <s v="Aaron Hawkins"/>
    <x v="1"/>
    <s v="United States"/>
    <x v="201"/>
    <x v="21"/>
    <x v="0"/>
    <s v="FUR-FU-10003691"/>
    <s v="Furniture"/>
    <x v="3"/>
    <s v="Eldon Image Series Desk Accessories, Ebony"/>
    <n v="86.45"/>
    <n v="7"/>
    <n v="38.037999999999997"/>
    <x v="2"/>
    <x v="9"/>
  </r>
  <r>
    <s v="US-2014-133130"/>
    <x v="52"/>
    <d v="2014-10-01T00:00:00"/>
    <x v="1"/>
    <s v="TH-21100"/>
    <s v="Thea Hendricks"/>
    <x v="0"/>
    <s v="United States"/>
    <x v="53"/>
    <x v="2"/>
    <x v="1"/>
    <s v="FUR-CH-10002602"/>
    <s v="Furniture"/>
    <x v="1"/>
    <s v="DMI Arturo Collection Mission-style Design Wood Chair"/>
    <n v="603.91999999999996"/>
    <n v="5"/>
    <n v="45.293999999999997"/>
    <x v="4"/>
    <x v="4"/>
  </r>
  <r>
    <s v="CA-2017-169978"/>
    <x v="455"/>
    <d v="2017-12-28T00:00:00"/>
    <x v="1"/>
    <s v="HG-15025"/>
    <s v="Hunter Glantz"/>
    <x v="0"/>
    <s v="United States"/>
    <x v="64"/>
    <x v="7"/>
    <x v="2"/>
    <s v="FUR-CH-10002602"/>
    <s v="Furniture"/>
    <x v="1"/>
    <s v="DMI Arturo Collection Mission-style Design Wood Chair"/>
    <n v="271.76400000000001"/>
    <n v="2"/>
    <n v="48.313600000000001"/>
    <x v="4"/>
    <x v="5"/>
  </r>
  <r>
    <s v="CA-2017-161739"/>
    <x v="219"/>
    <d v="2017-11-15T00:00:00"/>
    <x v="0"/>
    <s v="EB-13750"/>
    <s v="Edward Becker"/>
    <x v="1"/>
    <s v="United States"/>
    <x v="82"/>
    <x v="5"/>
    <x v="3"/>
    <s v="FUR-FU-10001468"/>
    <s v="Furniture"/>
    <x v="3"/>
    <s v="Tenex Antistatic Computer Chair Mats"/>
    <n v="341.96"/>
    <n v="5"/>
    <n v="-427.45"/>
    <x v="2"/>
    <x v="0"/>
  </r>
  <r>
    <s v="CA-2014-134551"/>
    <x v="191"/>
    <d v="2014-12-25T00:00:00"/>
    <x v="1"/>
    <s v="TS-21505"/>
    <s v="Tony Sayre"/>
    <x v="0"/>
    <s v="United States"/>
    <x v="11"/>
    <x v="9"/>
    <x v="0"/>
    <s v="FUR-CH-10004287"/>
    <s v="Furniture"/>
    <x v="1"/>
    <s v="SAFCO Arco Folding Chair"/>
    <n v="662.88"/>
    <n v="3"/>
    <n v="74.573999999999998"/>
    <x v="2"/>
    <x v="5"/>
  </r>
  <r>
    <s v="CA-2015-120810"/>
    <x v="456"/>
    <d v="2015-07-27T00:00:00"/>
    <x v="1"/>
    <s v="TH-21550"/>
    <s v="Tracy Hopkins"/>
    <x v="2"/>
    <s v="United States"/>
    <x v="13"/>
    <x v="7"/>
    <x v="2"/>
    <s v="FUR-FU-10002253"/>
    <s v="Furniture"/>
    <x v="3"/>
    <s v="Howard Miller 13&quot; Diameter Pewter Finish Round Wall Clock"/>
    <n v="128.82"/>
    <n v="3"/>
    <n v="50.239800000000002"/>
    <x v="4"/>
    <x v="3"/>
  </r>
  <r>
    <s v="CA-2017-122595"/>
    <x v="417"/>
    <d v="2017-12-20T00:00:00"/>
    <x v="1"/>
    <s v="GM-14455"/>
    <s v="Gary Mitchum"/>
    <x v="2"/>
    <s v="United States"/>
    <x v="9"/>
    <x v="8"/>
    <x v="3"/>
    <s v="FUR-FU-10002963"/>
    <s v="Furniture"/>
    <x v="3"/>
    <s v="Master Caster Door Stop, Gray"/>
    <n v="2.032"/>
    <n v="1"/>
    <n v="-1.3208"/>
    <x v="6"/>
    <x v="5"/>
  </r>
  <r>
    <s v="US-2017-109253"/>
    <x v="67"/>
    <d v="2017-08-22T00:00:00"/>
    <x v="2"/>
    <s v="PR-18880"/>
    <s v="Patrick Ryan"/>
    <x v="0"/>
    <s v="United States"/>
    <x v="121"/>
    <x v="2"/>
    <x v="1"/>
    <s v="FUR-FU-10000193"/>
    <s v="Furniture"/>
    <x v="3"/>
    <s v="Tenex Chairmats For Use with Hard Floors"/>
    <n v="129.91999999999999"/>
    <n v="4"/>
    <n v="10.393599999999999"/>
    <x v="5"/>
    <x v="10"/>
  </r>
  <r>
    <s v="US-2017-109253"/>
    <x v="67"/>
    <d v="2017-08-22T00:00:00"/>
    <x v="2"/>
    <s v="PR-18880"/>
    <s v="Patrick Ryan"/>
    <x v="0"/>
    <s v="United States"/>
    <x v="121"/>
    <x v="2"/>
    <x v="1"/>
    <s v="FUR-TA-10001539"/>
    <s v="Furniture"/>
    <x v="2"/>
    <s v="Chromcraft Rectangular Conference Tables"/>
    <n v="568.72799999999995"/>
    <n v="3"/>
    <n v="28.436399999999999"/>
    <x v="5"/>
    <x v="10"/>
  </r>
  <r>
    <s v="CA-2016-145982"/>
    <x v="457"/>
    <d v="2016-09-01T00:00:00"/>
    <x v="0"/>
    <s v="TB-21055"/>
    <s v="Ted Butterfield"/>
    <x v="0"/>
    <s v="United States"/>
    <x v="202"/>
    <x v="20"/>
    <x v="2"/>
    <s v="FUR-TA-10001307"/>
    <s v="Furniture"/>
    <x v="2"/>
    <s v="SAFCO PlanMaster Heigh-Adjustable Drafting Table Base, 43w x 30d x 30-37h, Black"/>
    <n v="244.61500000000001"/>
    <n v="1"/>
    <n v="20.966999999999999"/>
    <x v="2"/>
    <x v="10"/>
  </r>
  <r>
    <s v="US-2014-134733"/>
    <x v="458"/>
    <d v="2014-09-28T00:00:00"/>
    <x v="1"/>
    <s v="BM-11650"/>
    <s v="Brian Moss"/>
    <x v="1"/>
    <s v="United States"/>
    <x v="53"/>
    <x v="2"/>
    <x v="1"/>
    <s v="FUR-BO-10002916"/>
    <s v="Furniture"/>
    <x v="0"/>
    <s v="Rush Hierlooms Collection 1&quot; Thick Stackable Bookcases"/>
    <n v="435.99900000000002"/>
    <n v="3"/>
    <n v="20.517600000000002"/>
    <x v="2"/>
    <x v="4"/>
  </r>
  <r>
    <s v="US-2014-150434"/>
    <x v="459"/>
    <d v="2014-07-24T00:00:00"/>
    <x v="1"/>
    <s v="CA-12310"/>
    <s v="Christine Abelman"/>
    <x v="1"/>
    <s v="United States"/>
    <x v="203"/>
    <x v="19"/>
    <x v="2"/>
    <s v="FUR-TA-10004152"/>
    <s v="Furniture"/>
    <x v="2"/>
    <s v="Barricks 18&quot; x 48&quot; Non-Folding Utility Table with Bottom Storage Shelf"/>
    <n v="70.56"/>
    <n v="1"/>
    <n v="-4.032"/>
    <x v="2"/>
    <x v="3"/>
  </r>
  <r>
    <s v="US-2015-142020"/>
    <x v="460"/>
    <d v="2015-06-08T00:00:00"/>
    <x v="0"/>
    <s v="TC-21535"/>
    <s v="Tracy Collins"/>
    <x v="2"/>
    <s v="United States"/>
    <x v="13"/>
    <x v="7"/>
    <x v="2"/>
    <s v="FUR-FU-10000672"/>
    <s v="Furniture"/>
    <x v="3"/>
    <s v="Executive Impressions 10&quot; Spectator Wall Clock"/>
    <n v="35.28"/>
    <n v="3"/>
    <n v="11.995200000000001"/>
    <x v="4"/>
    <x v="2"/>
  </r>
  <r>
    <s v="CA-2016-130050"/>
    <x v="461"/>
    <d v="2016-07-18T00:00:00"/>
    <x v="0"/>
    <s v="MC-17425"/>
    <s v="Mark Cousins"/>
    <x v="1"/>
    <s v="United States"/>
    <x v="6"/>
    <x v="5"/>
    <x v="3"/>
    <s v="FUR-FU-10001940"/>
    <s v="Furniture"/>
    <x v="3"/>
    <s v="Staple-based wall hangings"/>
    <n v="9.5519999999999996"/>
    <n v="3"/>
    <n v="-3.8208000000000002"/>
    <x v="3"/>
    <x v="3"/>
  </r>
  <r>
    <s v="CA-2014-115161"/>
    <x v="462"/>
    <d v="2014-02-02T00:00:00"/>
    <x v="2"/>
    <s v="LC-17050"/>
    <s v="Liz Carlisle"/>
    <x v="0"/>
    <s v="United States"/>
    <x v="204"/>
    <x v="2"/>
    <x v="1"/>
    <s v="FUR-BO-10003966"/>
    <s v="Furniture"/>
    <x v="0"/>
    <s v="Sauder Facets Collection Library, Sky Alder Finish"/>
    <n v="290.666"/>
    <n v="2"/>
    <n v="3.4196"/>
    <x v="3"/>
    <x v="8"/>
  </r>
  <r>
    <s v="CA-2015-115511"/>
    <x v="32"/>
    <d v="2015-11-25T00:00:00"/>
    <x v="1"/>
    <s v="NW-18400"/>
    <s v="Natalie Webber"/>
    <x v="0"/>
    <s v="United States"/>
    <x v="205"/>
    <x v="34"/>
    <x v="1"/>
    <s v="FUR-BO-10002598"/>
    <s v="Furniture"/>
    <x v="0"/>
    <s v="Hon Metal Bookcases, Putty"/>
    <n v="141.96"/>
    <n v="2"/>
    <n v="41.168399999999998"/>
    <x v="4"/>
    <x v="0"/>
  </r>
  <r>
    <s v="CA-2015-161718"/>
    <x v="463"/>
    <d v="2015-12-10T00:00:00"/>
    <x v="1"/>
    <s v="SO-20335"/>
    <s v="Sean O'Donnell"/>
    <x v="0"/>
    <s v="United States"/>
    <x v="206"/>
    <x v="7"/>
    <x v="2"/>
    <s v="FUR-FU-10002445"/>
    <s v="Furniture"/>
    <x v="3"/>
    <s v="DAX Two-Tone Rosewood/Black Document Frame, Desktop, 5 x 7"/>
    <n v="28.44"/>
    <n v="3"/>
    <n v="11.375999999999999"/>
    <x v="6"/>
    <x v="5"/>
  </r>
  <r>
    <s v="CA-2015-161718"/>
    <x v="463"/>
    <d v="2015-12-10T00:00:00"/>
    <x v="1"/>
    <s v="SO-20335"/>
    <s v="Sean O'Donnell"/>
    <x v="0"/>
    <s v="United States"/>
    <x v="206"/>
    <x v="7"/>
    <x v="2"/>
    <s v="FUR-CH-10002372"/>
    <s v="Furniture"/>
    <x v="1"/>
    <s v="Office Star - Ergonomically Designed Knee Chair"/>
    <n v="364.41"/>
    <n v="5"/>
    <n v="8.0980000000000008"/>
    <x v="6"/>
    <x v="5"/>
  </r>
  <r>
    <s v="CA-2015-161718"/>
    <x v="463"/>
    <d v="2015-12-10T00:00:00"/>
    <x v="1"/>
    <s v="SO-20335"/>
    <s v="Sean O'Donnell"/>
    <x v="0"/>
    <s v="United States"/>
    <x v="206"/>
    <x v="7"/>
    <x v="2"/>
    <s v="FUR-CH-10002965"/>
    <s v="Furniture"/>
    <x v="1"/>
    <s v="Global Leather Highback Executive Chair with Pneumatic Height Adjustment, Black"/>
    <n v="361.76400000000001"/>
    <n v="2"/>
    <n v="68.333200000000005"/>
    <x v="6"/>
    <x v="5"/>
  </r>
  <r>
    <s v="CA-2017-103156"/>
    <x v="68"/>
    <d v="2017-11-24T00:00:00"/>
    <x v="2"/>
    <s v="TD-20995"/>
    <s v="Tamara Dahlen"/>
    <x v="0"/>
    <s v="United States"/>
    <x v="3"/>
    <x v="3"/>
    <x v="2"/>
    <s v="FUR-FU-10000320"/>
    <s v="Furniture"/>
    <x v="3"/>
    <s v="OIC Stacking Trays"/>
    <n v="24.047999999999998"/>
    <n v="9"/>
    <n v="7.2144000000000004"/>
    <x v="5"/>
    <x v="0"/>
  </r>
  <r>
    <s v="CA-2015-130659"/>
    <x v="463"/>
    <d v="2015-12-09T00:00:00"/>
    <x v="0"/>
    <s v="MS-17365"/>
    <s v="Maribeth Schnelling"/>
    <x v="0"/>
    <s v="United States"/>
    <x v="13"/>
    <x v="7"/>
    <x v="2"/>
    <s v="FUR-CH-10003535"/>
    <s v="Furniture"/>
    <x v="1"/>
    <s v="Global Armless Task Chair, Royal Blue"/>
    <n v="384.17399999999998"/>
    <n v="7"/>
    <n v="29.880199999999999"/>
    <x v="2"/>
    <x v="5"/>
  </r>
  <r>
    <s v="CA-2017-148404"/>
    <x v="273"/>
    <d v="2017-10-11T00:00:00"/>
    <x v="1"/>
    <s v="Dp-13240"/>
    <s v="Dean percer"/>
    <x v="2"/>
    <s v="United States"/>
    <x v="127"/>
    <x v="30"/>
    <x v="0"/>
    <s v="FUR-TA-10001039"/>
    <s v="Furniture"/>
    <x v="2"/>
    <s v="KI Adjustable-Height Table"/>
    <n v="154.76400000000001"/>
    <n v="3"/>
    <n v="-36.111600000000003"/>
    <x v="4"/>
    <x v="1"/>
  </r>
  <r>
    <s v="CA-2015-129700"/>
    <x v="50"/>
    <d v="2015-05-05T00:00:00"/>
    <x v="2"/>
    <s v="LA-16780"/>
    <s v="Laura Armstrong"/>
    <x v="1"/>
    <s v="United States"/>
    <x v="207"/>
    <x v="8"/>
    <x v="3"/>
    <s v="FUR-FU-10001940"/>
    <s v="Furniture"/>
    <x v="3"/>
    <s v="Staple-based wall hangings"/>
    <n v="22.288"/>
    <n v="7"/>
    <n v="-8.9152000000000005"/>
    <x v="5"/>
    <x v="7"/>
  </r>
  <r>
    <s v="CA-2017-168739"/>
    <x v="464"/>
    <d v="2017-06-05T00:00:00"/>
    <x v="1"/>
    <s v="HZ-14950"/>
    <s v="Henia Zydlo"/>
    <x v="0"/>
    <s v="United States"/>
    <x v="6"/>
    <x v="5"/>
    <x v="3"/>
    <s v="FUR-FU-10003919"/>
    <s v="Furniture"/>
    <x v="3"/>
    <s v="Eldon Executive Woodline II Cherry Finish Desk Accessories"/>
    <n v="65.424000000000007"/>
    <n v="4"/>
    <n v="-52.339199999999998"/>
    <x v="1"/>
    <x v="7"/>
  </r>
  <r>
    <s v="US-2014-150119"/>
    <x v="465"/>
    <d v="2014-04-27T00:00:00"/>
    <x v="1"/>
    <s v="LB-16795"/>
    <s v="Laurel Beltran"/>
    <x v="2"/>
    <s v="United States"/>
    <x v="29"/>
    <x v="15"/>
    <x v="2"/>
    <s v="FUR-CH-10002965"/>
    <s v="Furniture"/>
    <x v="1"/>
    <s v="Global Leather Highback Executive Chair with Pneumatic Height Adjustment, Black"/>
    <n v="281.37200000000001"/>
    <n v="2"/>
    <n v="-12.0588"/>
    <x v="4"/>
    <x v="6"/>
  </r>
  <r>
    <s v="US-2014-150119"/>
    <x v="465"/>
    <d v="2014-04-27T00:00:00"/>
    <x v="1"/>
    <s v="LB-16795"/>
    <s v="Laurel Beltran"/>
    <x v="2"/>
    <s v="United States"/>
    <x v="29"/>
    <x v="15"/>
    <x v="2"/>
    <s v="FUR-CH-10002965"/>
    <s v="Furniture"/>
    <x v="1"/>
    <s v="Global Leather Highback Executive Chair with Pneumatic Height Adjustment, Black"/>
    <n v="281.37200000000001"/>
    <n v="2"/>
    <n v="-12.0588"/>
    <x v="4"/>
    <x v="6"/>
  </r>
  <r>
    <s v="US-2014-150119"/>
    <x v="465"/>
    <d v="2014-04-27T00:00:00"/>
    <x v="1"/>
    <s v="LB-16795"/>
    <s v="Laurel Beltran"/>
    <x v="2"/>
    <s v="United States"/>
    <x v="29"/>
    <x v="15"/>
    <x v="2"/>
    <s v="FUR-FU-10002191"/>
    <s v="Furniture"/>
    <x v="3"/>
    <s v="G.E. Halogen Desk Lamp Bulbs"/>
    <n v="22.335999999999999"/>
    <n v="4"/>
    <n v="7.8175999999999997"/>
    <x v="4"/>
    <x v="6"/>
  </r>
  <r>
    <s v="CA-2015-150791"/>
    <x v="329"/>
    <d v="2015-09-13T00:00:00"/>
    <x v="1"/>
    <s v="CC-12430"/>
    <s v="Chuck Clark"/>
    <x v="2"/>
    <s v="United States"/>
    <x v="13"/>
    <x v="7"/>
    <x v="2"/>
    <s v="FUR-CH-10000665"/>
    <s v="Furniture"/>
    <x v="1"/>
    <s v="Global Airflow Leather Mesh Back Chair, Black"/>
    <n v="271.76400000000001"/>
    <n v="2"/>
    <n v="60.392000000000003"/>
    <x v="1"/>
    <x v="4"/>
  </r>
  <r>
    <s v="CA-2015-153381"/>
    <x v="262"/>
    <d v="2015-09-28T00:00:00"/>
    <x v="1"/>
    <s v="DE-13255"/>
    <s v="Deanra Eno"/>
    <x v="2"/>
    <s v="United States"/>
    <x v="208"/>
    <x v="26"/>
    <x v="3"/>
    <s v="FUR-CH-10000988"/>
    <s v="Furniture"/>
    <x v="1"/>
    <s v="Hon Olson Stacker Stools"/>
    <n v="1408.1"/>
    <n v="10"/>
    <n v="394.26799999999997"/>
    <x v="4"/>
    <x v="4"/>
  </r>
  <r>
    <s v="US-2017-111024"/>
    <x v="209"/>
    <d v="2017-07-06T00:00:00"/>
    <x v="0"/>
    <s v="SZ-20035"/>
    <s v="Sam Zeldin"/>
    <x v="2"/>
    <s v="United States"/>
    <x v="68"/>
    <x v="15"/>
    <x v="2"/>
    <s v="FUR-TA-10002041"/>
    <s v="Furniture"/>
    <x v="2"/>
    <s v="Bevis Round Conference Table Top, X-Base"/>
    <n v="215.148"/>
    <n v="2"/>
    <n v="-103.98820000000001"/>
    <x v="0"/>
    <x v="3"/>
  </r>
  <r>
    <s v="CA-2017-148264"/>
    <x v="64"/>
    <d v="2017-12-09T00:00:00"/>
    <x v="2"/>
    <s v="LF-17185"/>
    <s v="Luke Foster"/>
    <x v="0"/>
    <s v="United States"/>
    <x v="209"/>
    <x v="2"/>
    <x v="1"/>
    <s v="FUR-FU-10002703"/>
    <s v="Furniture"/>
    <x v="3"/>
    <s v="Tenex Traditional Chairmats for Hard Floors, Average Lip, 36&quot; x 48&quot;"/>
    <n v="128.9"/>
    <n v="2"/>
    <n v="15.468"/>
    <x v="5"/>
    <x v="5"/>
  </r>
  <r>
    <s v="US-2015-100531"/>
    <x v="466"/>
    <d v="2015-09-29T00:00:00"/>
    <x v="2"/>
    <s v="NM-18520"/>
    <s v="Neoma Murray"/>
    <x v="0"/>
    <s v="United States"/>
    <x v="9"/>
    <x v="8"/>
    <x v="3"/>
    <s v="FUR-FU-10003849"/>
    <s v="Furniture"/>
    <x v="3"/>
    <s v="DAX Metal Frame, Desktop, Stepped-Edge"/>
    <n v="24.288"/>
    <n v="3"/>
    <n v="-12.751200000000001"/>
    <x v="3"/>
    <x v="4"/>
  </r>
  <r>
    <s v="CA-2017-152583"/>
    <x v="242"/>
    <d v="2017-10-30T00:00:00"/>
    <x v="3"/>
    <s v="RA-19945"/>
    <s v="Ryan Akin"/>
    <x v="0"/>
    <s v="United States"/>
    <x v="144"/>
    <x v="5"/>
    <x v="3"/>
    <s v="FUR-FU-10003849"/>
    <s v="Furniture"/>
    <x v="3"/>
    <s v="DAX Metal Frame, Desktop, Stepped-Edge"/>
    <n v="16.192"/>
    <n v="2"/>
    <n v="-8.5007999999999999"/>
    <x v="7"/>
    <x v="1"/>
  </r>
  <r>
    <s v="CA-2017-152583"/>
    <x v="242"/>
    <d v="2017-10-30T00:00:00"/>
    <x v="3"/>
    <s v="RA-19945"/>
    <s v="Ryan Akin"/>
    <x v="0"/>
    <s v="United States"/>
    <x v="144"/>
    <x v="5"/>
    <x v="3"/>
    <s v="FUR-TA-10002041"/>
    <s v="Furniture"/>
    <x v="2"/>
    <s v="Bevis Round Conference Table Top, X-Base"/>
    <n v="251.006"/>
    <n v="2"/>
    <n v="-68.130200000000002"/>
    <x v="7"/>
    <x v="1"/>
  </r>
  <r>
    <s v="CA-2017-136448"/>
    <x v="467"/>
    <d v="2017-09-18T00:00:00"/>
    <x v="2"/>
    <s v="AS-10090"/>
    <s v="Adam Shillingsburg"/>
    <x v="0"/>
    <s v="United States"/>
    <x v="3"/>
    <x v="3"/>
    <x v="2"/>
    <s v="FUR-FU-10003832"/>
    <s v="Furniture"/>
    <x v="3"/>
    <s v="Eldon Expressions Punched Metal &amp; Wood Desk Accessories, Black &amp; Cherry"/>
    <n v="22.512"/>
    <n v="3"/>
    <n v="2.2511999999999999"/>
    <x v="3"/>
    <x v="4"/>
  </r>
  <r>
    <s v="US-2015-147242"/>
    <x v="468"/>
    <d v="2015-09-14T00:00:00"/>
    <x v="1"/>
    <s v="EH-13765"/>
    <s v="Edward Hooks"/>
    <x v="1"/>
    <s v="United States"/>
    <x v="210"/>
    <x v="20"/>
    <x v="2"/>
    <s v="FUR-BO-10004695"/>
    <s v="Furniture"/>
    <x v="0"/>
    <s v="O'Sullivan 2-Door Barrister Bookcase in Odessa Pine"/>
    <n v="361.96"/>
    <n v="2"/>
    <n v="83.250799999999998"/>
    <x v="4"/>
    <x v="4"/>
  </r>
  <r>
    <s v="CA-2016-146143"/>
    <x v="469"/>
    <d v="2016-12-19T00:00:00"/>
    <x v="1"/>
    <s v="MC-17845"/>
    <s v="Michael Chen"/>
    <x v="0"/>
    <s v="United States"/>
    <x v="38"/>
    <x v="21"/>
    <x v="0"/>
    <s v="FUR-FU-10002045"/>
    <s v="Furniture"/>
    <x v="3"/>
    <s v="Executive Impressions 14&quot;"/>
    <n v="133.38"/>
    <n v="6"/>
    <n v="58.687199999999997"/>
    <x v="2"/>
    <x v="5"/>
  </r>
  <r>
    <s v="US-2016-150035"/>
    <x v="193"/>
    <d v="2016-12-05T00:00:00"/>
    <x v="1"/>
    <s v="CL-11890"/>
    <s v="Carl Ludwig"/>
    <x v="0"/>
    <s v="United States"/>
    <x v="28"/>
    <x v="2"/>
    <x v="1"/>
    <s v="FUR-FU-10003724"/>
    <s v="Furniture"/>
    <x v="3"/>
    <s v="Westinghouse Clip-On Gooseneck Lamps"/>
    <n v="16.739999999999998"/>
    <n v="2"/>
    <n v="4.3524000000000003"/>
    <x v="4"/>
    <x v="5"/>
  </r>
  <r>
    <s v="CA-2017-111815"/>
    <x v="470"/>
    <d v="2017-03-10T00:00:00"/>
    <x v="1"/>
    <s v="EP-13915"/>
    <s v="Emily Phan"/>
    <x v="0"/>
    <s v="United States"/>
    <x v="211"/>
    <x v="17"/>
    <x v="3"/>
    <s v="FUR-CH-10000785"/>
    <s v="Furniture"/>
    <x v="1"/>
    <s v="Global Ergonomic Managers Chair"/>
    <n v="180.98"/>
    <n v="1"/>
    <n v="47.0548"/>
    <x v="1"/>
    <x v="9"/>
  </r>
  <r>
    <s v="CA-2016-131289"/>
    <x v="6"/>
    <d v="2016-12-14T00:00:00"/>
    <x v="1"/>
    <s v="SP-20620"/>
    <s v="Stefania Perrino"/>
    <x v="1"/>
    <s v="United States"/>
    <x v="28"/>
    <x v="2"/>
    <x v="1"/>
    <s v="FUR-TA-10003954"/>
    <s v="Furniture"/>
    <x v="2"/>
    <s v="Hon 94000 Series Round Tables"/>
    <n v="1421.664"/>
    <n v="6"/>
    <n v="-195.47880000000001"/>
    <x v="6"/>
    <x v="5"/>
  </r>
  <r>
    <s v="CA-2014-124023"/>
    <x v="471"/>
    <d v="2014-04-10T00:00:00"/>
    <x v="2"/>
    <s v="PJ-19015"/>
    <s v="Pauline Johnson"/>
    <x v="0"/>
    <s v="United States"/>
    <x v="212"/>
    <x v="33"/>
    <x v="0"/>
    <s v="FUR-FU-10004415"/>
    <s v="Furniture"/>
    <x v="3"/>
    <s v="Stacking Tray, Side-Loading, Legal, Smoke"/>
    <n v="8.9600000000000009"/>
    <n v="2"/>
    <n v="2.7776000000000001"/>
    <x v="0"/>
    <x v="6"/>
  </r>
  <r>
    <s v="CA-2014-124688"/>
    <x v="472"/>
    <d v="2014-08-29T00:00:00"/>
    <x v="2"/>
    <s v="CC-12610"/>
    <s v="Corey Catlett"/>
    <x v="1"/>
    <s v="United States"/>
    <x v="76"/>
    <x v="25"/>
    <x v="0"/>
    <s v="FUR-FU-10002456"/>
    <s v="Furniture"/>
    <x v="3"/>
    <s v="Master Caster Door Stop, Large Neon Orange"/>
    <n v="29.12"/>
    <n v="4"/>
    <n v="12.521599999999999"/>
    <x v="3"/>
    <x v="10"/>
  </r>
  <r>
    <s v="CA-2014-124688"/>
    <x v="472"/>
    <d v="2014-08-29T00:00:00"/>
    <x v="2"/>
    <s v="CC-12610"/>
    <s v="Corey Catlett"/>
    <x v="1"/>
    <s v="United States"/>
    <x v="76"/>
    <x v="25"/>
    <x v="0"/>
    <s v="FUR-TA-10003569"/>
    <s v="Furniture"/>
    <x v="2"/>
    <s v="Bretford CR8500 Series Meeting Room Furniture"/>
    <n v="1202.94"/>
    <n v="3"/>
    <n v="300.73500000000001"/>
    <x v="3"/>
    <x v="10"/>
  </r>
  <r>
    <s v="CA-2015-157322"/>
    <x v="473"/>
    <d v="2015-07-06T00:00:00"/>
    <x v="1"/>
    <s v="RH-19600"/>
    <s v="Rob Haberlin"/>
    <x v="0"/>
    <s v="United States"/>
    <x v="213"/>
    <x v="8"/>
    <x v="3"/>
    <s v="FUR-CH-10004086"/>
    <s v="Furniture"/>
    <x v="1"/>
    <s v="Hon 4070 Series Pagoda Armless Upholstered Stacking Chairs"/>
    <n v="408.42200000000003"/>
    <n v="2"/>
    <n v="-5.8346"/>
    <x v="4"/>
    <x v="3"/>
  </r>
  <r>
    <s v="CA-2015-157322"/>
    <x v="473"/>
    <d v="2015-07-06T00:00:00"/>
    <x v="1"/>
    <s v="RH-19600"/>
    <s v="Rob Haberlin"/>
    <x v="0"/>
    <s v="United States"/>
    <x v="213"/>
    <x v="8"/>
    <x v="3"/>
    <s v="FUR-CH-10003774"/>
    <s v="Furniture"/>
    <x v="1"/>
    <s v="Global Wood Trimmed Manager's Task Chair, Khaki"/>
    <n v="382.11599999999999"/>
    <n v="6"/>
    <n v="-92.799599999999998"/>
    <x v="4"/>
    <x v="3"/>
  </r>
  <r>
    <s v="CA-2017-142034"/>
    <x v="118"/>
    <d v="2017-09-28T00:00:00"/>
    <x v="1"/>
    <s v="KB-16240"/>
    <s v="Karen Bern"/>
    <x v="1"/>
    <s v="United States"/>
    <x v="214"/>
    <x v="11"/>
    <x v="3"/>
    <s v="FUR-CH-10000665"/>
    <s v="Furniture"/>
    <x v="1"/>
    <s v="Global Airflow Leather Mesh Back Chair, Black"/>
    <n v="603.91999999999996"/>
    <n v="4"/>
    <n v="181.17599999999999"/>
    <x v="4"/>
    <x v="4"/>
  </r>
  <r>
    <s v="CA-2016-107328"/>
    <x v="474"/>
    <d v="2016-08-15T00:00:00"/>
    <x v="1"/>
    <s v="CA-12055"/>
    <s v="Cathy Armstrong"/>
    <x v="2"/>
    <s v="United States"/>
    <x v="2"/>
    <x v="2"/>
    <x v="1"/>
    <s v="FUR-TA-10001932"/>
    <s v="Furniture"/>
    <x v="2"/>
    <s v="Chromcraft 48&quot; x 96&quot; Racetrack Double Pedestal Table"/>
    <n v="513.024"/>
    <n v="2"/>
    <n v="12.8256"/>
    <x v="1"/>
    <x v="10"/>
  </r>
  <r>
    <s v="CA-2014-166863"/>
    <x v="475"/>
    <d v="2014-06-24T00:00:00"/>
    <x v="1"/>
    <s v="SC-20020"/>
    <s v="Sam Craven"/>
    <x v="0"/>
    <s v="United States"/>
    <x v="215"/>
    <x v="5"/>
    <x v="3"/>
    <s v="FUR-BO-10001608"/>
    <s v="Furniture"/>
    <x v="0"/>
    <s v="Hon Metal Bookcases, Black"/>
    <n v="193.06559999999999"/>
    <n v="4"/>
    <n v="-19.874400000000001"/>
    <x v="4"/>
    <x v="2"/>
  </r>
  <r>
    <s v="CA-2017-140326"/>
    <x v="362"/>
    <d v="2017-09-06T00:00:00"/>
    <x v="2"/>
    <s v="HW-14935"/>
    <s v="Helen Wasserman"/>
    <x v="1"/>
    <s v="United States"/>
    <x v="9"/>
    <x v="8"/>
    <x v="3"/>
    <s v="FUR-BO-10000112"/>
    <s v="Furniture"/>
    <x v="0"/>
    <s v="Bush Birmingham Collection Bookcase, Dark Cherry"/>
    <n v="825.17399999999998"/>
    <n v="9"/>
    <n v="-117.88200000000001"/>
    <x v="3"/>
    <x v="4"/>
  </r>
  <r>
    <s v="CA-2015-124975"/>
    <x v="476"/>
    <d v="2015-06-25T00:00:00"/>
    <x v="2"/>
    <s v="MG-17875"/>
    <s v="Michael Grace"/>
    <x v="2"/>
    <s v="United States"/>
    <x v="14"/>
    <x v="8"/>
    <x v="3"/>
    <s v="FUR-TA-10002645"/>
    <s v="Furniture"/>
    <x v="2"/>
    <s v="Hon Rectangular Conference Tables"/>
    <n v="796.42499999999995"/>
    <n v="7"/>
    <n v="-525.64049999999997"/>
    <x v="0"/>
    <x v="2"/>
  </r>
  <r>
    <s v="CA-2016-157511"/>
    <x v="126"/>
    <d v="2016-09-20T00:00:00"/>
    <x v="2"/>
    <s v="SV-20365"/>
    <s v="Seth Vernon"/>
    <x v="0"/>
    <s v="United States"/>
    <x v="29"/>
    <x v="15"/>
    <x v="2"/>
    <s v="FUR-FU-10002107"/>
    <s v="Furniture"/>
    <x v="3"/>
    <s v="Eldon Pizzaz Desk Accessories"/>
    <n v="5.3520000000000003"/>
    <n v="3"/>
    <n v="1.6055999999999999"/>
    <x v="3"/>
    <x v="4"/>
  </r>
  <r>
    <s v="CA-2016-157511"/>
    <x v="126"/>
    <d v="2016-09-20T00:00:00"/>
    <x v="2"/>
    <s v="SV-20365"/>
    <s v="Seth Vernon"/>
    <x v="0"/>
    <s v="United States"/>
    <x v="29"/>
    <x v="15"/>
    <x v="2"/>
    <s v="FUR-CH-10002647"/>
    <s v="Furniture"/>
    <x v="1"/>
    <s v="Situations Contoured Folding Chairs, 4/Set"/>
    <n v="99.372"/>
    <n v="2"/>
    <n v="-7.0979999999999999"/>
    <x v="3"/>
    <x v="4"/>
  </r>
  <r>
    <s v="CA-2017-155292"/>
    <x v="242"/>
    <d v="2017-11-01T00:00:00"/>
    <x v="2"/>
    <s v="RD-19810"/>
    <s v="Ross DeVincentis"/>
    <x v="2"/>
    <s v="United States"/>
    <x v="52"/>
    <x v="0"/>
    <x v="0"/>
    <s v="FUR-CH-10000553"/>
    <s v="Furniture"/>
    <x v="1"/>
    <s v="Metal Folding Chairs, Beige, 4/Carton"/>
    <n v="33.94"/>
    <n v="1"/>
    <n v="9.1638000000000002"/>
    <x v="3"/>
    <x v="1"/>
  </r>
  <r>
    <s v="CA-2016-152555"/>
    <x v="477"/>
    <d v="2016-04-02T00:00:00"/>
    <x v="0"/>
    <s v="ME-17320"/>
    <s v="Maria Etezadi"/>
    <x v="2"/>
    <s v="United States"/>
    <x v="9"/>
    <x v="8"/>
    <x v="3"/>
    <s v="FUR-CH-10002965"/>
    <s v="Furniture"/>
    <x v="1"/>
    <s v="Global Leather Highback Executive Chair with Pneumatic Height Adjustment, Black"/>
    <n v="844.11599999999999"/>
    <n v="6"/>
    <n v="-36.176400000000001"/>
    <x v="4"/>
    <x v="9"/>
  </r>
  <r>
    <s v="CA-2016-137176"/>
    <x v="478"/>
    <d v="2016-09-14T00:00:00"/>
    <x v="0"/>
    <s v="DB-12910"/>
    <s v="Daniel Byrd"/>
    <x v="2"/>
    <s v="United States"/>
    <x v="144"/>
    <x v="5"/>
    <x v="3"/>
    <s v="FUR-FU-10003832"/>
    <s v="Furniture"/>
    <x v="3"/>
    <s v="Eldon Expressions Punched Metal &amp; Wood Desk Accessories, Black &amp; Cherry"/>
    <n v="15.007999999999999"/>
    <n v="4"/>
    <n v="-12.006399999999999"/>
    <x v="2"/>
    <x v="4"/>
  </r>
  <r>
    <s v="CA-2016-104157"/>
    <x v="81"/>
    <d v="2016-07-29T00:00:00"/>
    <x v="1"/>
    <s v="MT-17815"/>
    <s v="Meg Tillman"/>
    <x v="0"/>
    <s v="United States"/>
    <x v="38"/>
    <x v="21"/>
    <x v="0"/>
    <s v="FUR-TA-10004915"/>
    <s v="Furniture"/>
    <x v="2"/>
    <s v="Office Impressions End Table, 20-1/2&quot;H x 24&quot;W x 20&quot;D"/>
    <n v="2430.08"/>
    <n v="8"/>
    <n v="388.81279999999998"/>
    <x v="4"/>
    <x v="3"/>
  </r>
  <r>
    <s v="CA-2015-121650"/>
    <x v="479"/>
    <d v="2015-12-16T00:00:00"/>
    <x v="1"/>
    <s v="KD-16495"/>
    <s v="Keith Dawkins"/>
    <x v="1"/>
    <s v="United States"/>
    <x v="38"/>
    <x v="17"/>
    <x v="3"/>
    <s v="FUR-TA-10003569"/>
    <s v="Furniture"/>
    <x v="2"/>
    <s v="Bretford CR8500 Series Meeting Room Furniture"/>
    <n v="801.96"/>
    <n v="2"/>
    <n v="200.49"/>
    <x v="6"/>
    <x v="5"/>
  </r>
  <r>
    <s v="CA-2015-121650"/>
    <x v="479"/>
    <d v="2015-12-16T00:00:00"/>
    <x v="1"/>
    <s v="KD-16495"/>
    <s v="Keith Dawkins"/>
    <x v="1"/>
    <s v="United States"/>
    <x v="38"/>
    <x v="17"/>
    <x v="3"/>
    <s v="FUR-CH-10004289"/>
    <s v="Furniture"/>
    <x v="1"/>
    <s v="Global Super Steno Chair"/>
    <n v="191.96"/>
    <n v="2"/>
    <n v="32.633200000000002"/>
    <x v="6"/>
    <x v="5"/>
  </r>
  <r>
    <s v="CA-2014-102869"/>
    <x v="383"/>
    <d v="2014-09-14T00:00:00"/>
    <x v="0"/>
    <s v="LC-17140"/>
    <s v="Logan Currie"/>
    <x v="0"/>
    <s v="United States"/>
    <x v="3"/>
    <x v="3"/>
    <x v="2"/>
    <s v="FUR-FU-10002456"/>
    <s v="Furniture"/>
    <x v="3"/>
    <s v="Master Caster Door Stop, Large Neon Orange"/>
    <n v="17.472000000000001"/>
    <n v="3"/>
    <n v="5.0232000000000001"/>
    <x v="2"/>
    <x v="4"/>
  </r>
  <r>
    <s v="CA-2014-159835"/>
    <x v="317"/>
    <d v="2014-11-24T00:00:00"/>
    <x v="1"/>
    <s v="RB-19330"/>
    <s v="Randy Bradley"/>
    <x v="0"/>
    <s v="United States"/>
    <x v="3"/>
    <x v="3"/>
    <x v="2"/>
    <s v="FUR-CH-10004997"/>
    <s v="Furniture"/>
    <x v="1"/>
    <s v="Hon Every-Day Series Multi-Task Chairs"/>
    <n v="657.93"/>
    <n v="5"/>
    <n v="-93.99"/>
    <x v="1"/>
    <x v="0"/>
  </r>
  <r>
    <s v="CA-2017-112956"/>
    <x v="67"/>
    <d v="2017-08-27T00:00:00"/>
    <x v="1"/>
    <s v="TH-21550"/>
    <s v="Tracy Hopkins"/>
    <x v="2"/>
    <s v="United States"/>
    <x v="11"/>
    <x v="32"/>
    <x v="2"/>
    <s v="FUR-FU-10003976"/>
    <s v="Furniture"/>
    <x v="3"/>
    <s v="DAX Executive Solid Wood Document Frame, Desktop or Hang, Mahogany, 5 x 7"/>
    <n v="25.16"/>
    <n v="2"/>
    <n v="8.5543999999999993"/>
    <x v="6"/>
    <x v="10"/>
  </r>
  <r>
    <s v="CA-2017-112956"/>
    <x v="67"/>
    <d v="2017-08-27T00:00:00"/>
    <x v="1"/>
    <s v="TH-21550"/>
    <s v="Tracy Hopkins"/>
    <x v="2"/>
    <s v="United States"/>
    <x v="11"/>
    <x v="32"/>
    <x v="2"/>
    <s v="FUR-FU-10004960"/>
    <s v="Furniture"/>
    <x v="3"/>
    <s v="Seth Thomas 12&quot; Clock w/ Goldtone Case"/>
    <n v="91.92"/>
    <n v="4"/>
    <n v="31.252800000000001"/>
    <x v="6"/>
    <x v="10"/>
  </r>
  <r>
    <s v="CA-2017-112529"/>
    <x v="49"/>
    <d v="2017-11-21T00:00:00"/>
    <x v="2"/>
    <s v="SC-20770"/>
    <s v="Stewart Carmichael"/>
    <x v="1"/>
    <s v="United States"/>
    <x v="21"/>
    <x v="5"/>
    <x v="3"/>
    <s v="FUR-TA-10002622"/>
    <s v="Furniture"/>
    <x v="2"/>
    <s v="Bush Andora Conference Table, Maple/Graphite Gray Finish"/>
    <n v="718.11599999999999"/>
    <n v="6"/>
    <n v="-71.811599999999999"/>
    <x v="3"/>
    <x v="0"/>
  </r>
  <r>
    <s v="CA-2014-159184"/>
    <x v="94"/>
    <d v="2014-09-19T00:00:00"/>
    <x v="1"/>
    <s v="JC-15775"/>
    <s v="John Castell"/>
    <x v="0"/>
    <s v="United States"/>
    <x v="216"/>
    <x v="24"/>
    <x v="0"/>
    <s v="FUR-FU-10002878"/>
    <s v="Furniture"/>
    <x v="3"/>
    <s v="Seth Thomas 14&quot; Day/Date Wall Clock"/>
    <n v="142.4"/>
    <n v="5"/>
    <n v="52.688000000000002"/>
    <x v="2"/>
    <x v="4"/>
  </r>
  <r>
    <s v="CA-2017-113530"/>
    <x v="405"/>
    <d v="2017-05-21T00:00:00"/>
    <x v="0"/>
    <s v="BC-11125"/>
    <s v="Becky Castell"/>
    <x v="2"/>
    <s v="United States"/>
    <x v="28"/>
    <x v="2"/>
    <x v="1"/>
    <s v="FUR-CH-10002647"/>
    <s v="Furniture"/>
    <x v="1"/>
    <s v="Situations Contoured Folding Chairs, 4/Set"/>
    <n v="681.40800000000002"/>
    <n v="12"/>
    <n v="42.588000000000001"/>
    <x v="3"/>
    <x v="7"/>
  </r>
  <r>
    <s v="CA-2016-145177"/>
    <x v="480"/>
    <d v="2016-11-14T00:00:00"/>
    <x v="1"/>
    <s v="PP-18955"/>
    <s v="Paul Prost"/>
    <x v="2"/>
    <s v="United States"/>
    <x v="76"/>
    <x v="15"/>
    <x v="2"/>
    <s v="FUR-FU-10000758"/>
    <s v="Furniture"/>
    <x v="3"/>
    <s v="DAX Natural Wood-Tone Poster Frame"/>
    <n v="148.28800000000001"/>
    <n v="7"/>
    <n v="29.657599999999999"/>
    <x v="4"/>
    <x v="0"/>
  </r>
  <r>
    <s v="CA-2015-128083"/>
    <x v="481"/>
    <d v="2015-03-17T00:00:00"/>
    <x v="1"/>
    <s v="EB-13750"/>
    <s v="Edward Becker"/>
    <x v="1"/>
    <s v="United States"/>
    <x v="217"/>
    <x v="1"/>
    <x v="0"/>
    <s v="FUR-FU-10003194"/>
    <s v="Furniture"/>
    <x v="3"/>
    <s v="Eldon Expressions Desk Accessory, Wood Pencil Holder, Oak"/>
    <n v="30.88"/>
    <n v="4"/>
    <n v="3.86"/>
    <x v="2"/>
    <x v="9"/>
  </r>
  <r>
    <s v="CA-2015-128083"/>
    <x v="481"/>
    <d v="2015-03-17T00:00:00"/>
    <x v="1"/>
    <s v="EB-13750"/>
    <s v="Edward Becker"/>
    <x v="1"/>
    <s v="United States"/>
    <x v="217"/>
    <x v="1"/>
    <x v="0"/>
    <s v="FUR-FU-10001731"/>
    <s v="Furniture"/>
    <x v="3"/>
    <s v="Acrylic Self-Standing Desk Frames"/>
    <n v="6.4080000000000004"/>
    <n v="3"/>
    <n v="1.4418"/>
    <x v="2"/>
    <x v="9"/>
  </r>
  <r>
    <s v="CA-2017-154109"/>
    <x v="200"/>
    <d v="2017-11-11T00:00:00"/>
    <x v="1"/>
    <s v="ML-17410"/>
    <s v="Maris LaWare"/>
    <x v="0"/>
    <s v="United States"/>
    <x v="3"/>
    <x v="3"/>
    <x v="2"/>
    <s v="FUR-CH-10003774"/>
    <s v="Furniture"/>
    <x v="1"/>
    <s v="Global Wood Trimmed Manager's Task Chair, Khaki"/>
    <n v="127.372"/>
    <n v="2"/>
    <n v="-30.933199999999999"/>
    <x v="2"/>
    <x v="0"/>
  </r>
  <r>
    <s v="CA-2015-156440"/>
    <x v="482"/>
    <d v="2015-12-09T00:00:00"/>
    <x v="1"/>
    <s v="MH-17620"/>
    <s v="Matt Hagelstein"/>
    <x v="1"/>
    <s v="United States"/>
    <x v="53"/>
    <x v="2"/>
    <x v="1"/>
    <s v="FUR-FU-10004090"/>
    <s v="Furniture"/>
    <x v="3"/>
    <s v="Executive Impressions 14&quot; Contract Wall Clock"/>
    <n v="44.46"/>
    <n v="2"/>
    <n v="14.671799999999999"/>
    <x v="4"/>
    <x v="5"/>
  </r>
  <r>
    <s v="CA-2015-132626"/>
    <x v="483"/>
    <d v="2015-07-14T00:00:00"/>
    <x v="1"/>
    <s v="BT-11680"/>
    <s v="Brian Thompson"/>
    <x v="0"/>
    <s v="United States"/>
    <x v="218"/>
    <x v="32"/>
    <x v="2"/>
    <s v="FUR-FU-10002918"/>
    <s v="Furniture"/>
    <x v="3"/>
    <s v="Eldon ClusterMat Chair Mat with Cordless Antistatic Protection"/>
    <n v="181.96"/>
    <n v="2"/>
    <n v="20.015599999999999"/>
    <x v="2"/>
    <x v="3"/>
  </r>
  <r>
    <s v="US-2015-131359"/>
    <x v="484"/>
    <d v="2015-11-02T00:00:00"/>
    <x v="0"/>
    <s v="FA-14230"/>
    <s v="Frank Atkinson"/>
    <x v="1"/>
    <s v="United States"/>
    <x v="22"/>
    <x v="12"/>
    <x v="1"/>
    <s v="FUR-FU-10003026"/>
    <s v="Furniture"/>
    <x v="3"/>
    <s v="Eldon Regeneration Recycled Desk Accessories, Black"/>
    <n v="15.488"/>
    <n v="4"/>
    <n v="3.6783999999999999"/>
    <x v="0"/>
    <x v="1"/>
  </r>
  <r>
    <s v="CA-2015-151680"/>
    <x v="485"/>
    <d v="2015-11-21T00:00:00"/>
    <x v="0"/>
    <s v="TC-21475"/>
    <s v="Tony Chapman"/>
    <x v="2"/>
    <s v="United States"/>
    <x v="15"/>
    <x v="13"/>
    <x v="1"/>
    <s v="FUR-FU-10000305"/>
    <s v="Furniture"/>
    <x v="3"/>
    <s v="Tenex V2T-RE Standard Weight Series Chair Mat, 45&quot; x 53&quot;, Lip 25&quot; x 12&quot;"/>
    <n v="141.96"/>
    <n v="2"/>
    <n v="22.7136"/>
    <x v="3"/>
    <x v="0"/>
  </r>
  <r>
    <s v="CA-2017-169411"/>
    <x v="455"/>
    <d v="2017-12-29T00:00:00"/>
    <x v="1"/>
    <s v="AC-10615"/>
    <s v="Ann Chong"/>
    <x v="1"/>
    <s v="United States"/>
    <x v="77"/>
    <x v="7"/>
    <x v="2"/>
    <s v="FUR-FU-10001602"/>
    <s v="Furniture"/>
    <x v="3"/>
    <s v="Eldon Delta Triangular Chair Mat, 52&quot; x 58&quot;, Clear"/>
    <n v="37.93"/>
    <n v="1"/>
    <n v="6.8273999999999999"/>
    <x v="2"/>
    <x v="5"/>
  </r>
  <r>
    <s v="CA-2016-126543"/>
    <x v="486"/>
    <d v="2016-01-13T00:00:00"/>
    <x v="0"/>
    <s v="MF-17665"/>
    <s v="Maureen Fritzler"/>
    <x v="1"/>
    <s v="United States"/>
    <x v="219"/>
    <x v="15"/>
    <x v="2"/>
    <s v="FUR-FU-10002445"/>
    <s v="Furniture"/>
    <x v="3"/>
    <s v="DAX Two-Tone Rosewood/Black Document Frame, Desktop, 5 x 7"/>
    <n v="15.167999999999999"/>
    <n v="2"/>
    <n v="3.7919999999999998"/>
    <x v="4"/>
    <x v="8"/>
  </r>
  <r>
    <s v="CA-2014-120544"/>
    <x v="255"/>
    <d v="2014-11-27T00:00:00"/>
    <x v="1"/>
    <s v="SS-20140"/>
    <s v="Saphhira Shifley"/>
    <x v="1"/>
    <s v="United States"/>
    <x v="220"/>
    <x v="5"/>
    <x v="3"/>
    <s v="FUR-FU-10001940"/>
    <s v="Furniture"/>
    <x v="3"/>
    <s v="Staple-based wall hangings"/>
    <n v="6.3680000000000003"/>
    <n v="2"/>
    <n v="-2.5472000000000001"/>
    <x v="4"/>
    <x v="0"/>
  </r>
  <r>
    <s v="CA-2017-113670"/>
    <x v="487"/>
    <d v="2017-10-17T00:00:00"/>
    <x v="2"/>
    <s v="RS-19765"/>
    <s v="Roland Schwarz"/>
    <x v="1"/>
    <s v="United States"/>
    <x v="2"/>
    <x v="2"/>
    <x v="1"/>
    <s v="FUR-TA-10001705"/>
    <s v="Furniture"/>
    <x v="2"/>
    <s v="Bush Advantage Collection Round Conference Table"/>
    <n v="510.24"/>
    <n v="3"/>
    <n v="6.3780000000000001"/>
    <x v="3"/>
    <x v="1"/>
  </r>
  <r>
    <s v="CA-2017-166198"/>
    <x v="488"/>
    <d v="2017-04-24T00:00:00"/>
    <x v="2"/>
    <s v="JW-15955"/>
    <s v="Joni Wasserman"/>
    <x v="0"/>
    <s v="United States"/>
    <x v="15"/>
    <x v="13"/>
    <x v="1"/>
    <s v="FUR-FU-10004622"/>
    <s v="Furniture"/>
    <x v="3"/>
    <s v="Eldon Advantage Foldable Chair Mats for Low Pile Carpets"/>
    <n v="162.6"/>
    <n v="3"/>
    <n v="34.146000000000001"/>
    <x v="0"/>
    <x v="6"/>
  </r>
  <r>
    <s v="CA-2014-135608"/>
    <x v="489"/>
    <d v="2014-12-10T00:00:00"/>
    <x v="0"/>
    <s v="JK-15625"/>
    <s v="Jim Karlsson"/>
    <x v="0"/>
    <s v="United States"/>
    <x v="84"/>
    <x v="13"/>
    <x v="1"/>
    <s v="FUR-CH-10002602"/>
    <s v="Furniture"/>
    <x v="1"/>
    <s v="DMI Arturo Collection Mission-style Design Wood Chair"/>
    <n v="603.91999999999996"/>
    <n v="5"/>
    <n v="45.293999999999997"/>
    <x v="3"/>
    <x v="5"/>
  </r>
  <r>
    <s v="CA-2016-151155"/>
    <x v="490"/>
    <d v="2016-12-24T00:00:00"/>
    <x v="1"/>
    <s v="AB-10255"/>
    <s v="Alejandro Ballentine"/>
    <x v="2"/>
    <s v="United States"/>
    <x v="38"/>
    <x v="21"/>
    <x v="0"/>
    <s v="FUR-FU-10001918"/>
    <s v="Furniture"/>
    <x v="3"/>
    <s v="C-Line Cubicle Keepers Polyproplyene Holder With Velcro Backings"/>
    <n v="18.920000000000002"/>
    <n v="4"/>
    <n v="7.3788"/>
    <x v="4"/>
    <x v="5"/>
  </r>
  <r>
    <s v="CA-2017-168193"/>
    <x v="491"/>
    <d v="2017-03-11T00:00:00"/>
    <x v="0"/>
    <s v="RM-19750"/>
    <s v="Roland Murray"/>
    <x v="0"/>
    <s v="United States"/>
    <x v="13"/>
    <x v="7"/>
    <x v="2"/>
    <s v="FUR-FU-10002554"/>
    <s v="Furniture"/>
    <x v="3"/>
    <s v="Westinghouse Floor Lamp with Metal Mesh Shade, Black"/>
    <n v="71.97"/>
    <n v="3"/>
    <n v="16.553100000000001"/>
    <x v="2"/>
    <x v="9"/>
  </r>
  <r>
    <s v="CA-2016-149979"/>
    <x v="348"/>
    <d v="2016-09-28T00:00:00"/>
    <x v="0"/>
    <s v="RA-19915"/>
    <s v="Russell Applegate"/>
    <x v="0"/>
    <s v="United States"/>
    <x v="29"/>
    <x v="24"/>
    <x v="0"/>
    <s v="FUR-CH-10002084"/>
    <s v="Furniture"/>
    <x v="1"/>
    <s v="Hon Mobius Operator's Chair"/>
    <n v="368.97"/>
    <n v="3"/>
    <n v="81.173400000000001"/>
    <x v="2"/>
    <x v="4"/>
  </r>
  <r>
    <s v="CA-2017-161956"/>
    <x v="60"/>
    <d v="2017-08-29T00:00:00"/>
    <x v="0"/>
    <s v="DR-12880"/>
    <s v="Dan Reichenbach"/>
    <x v="1"/>
    <s v="United States"/>
    <x v="209"/>
    <x v="2"/>
    <x v="1"/>
    <s v="FUR-FU-10002937"/>
    <s v="Furniture"/>
    <x v="3"/>
    <s v="GE 48&quot; Fluorescent Tube, Cool White Energy Saver, 34 Watts, 30/Box"/>
    <n v="198.46"/>
    <n v="2"/>
    <n v="99.23"/>
    <x v="3"/>
    <x v="10"/>
  </r>
  <r>
    <s v="CA-2017-161956"/>
    <x v="60"/>
    <d v="2017-08-29T00:00:00"/>
    <x v="0"/>
    <s v="DR-12880"/>
    <s v="Dan Reichenbach"/>
    <x v="1"/>
    <s v="United States"/>
    <x v="209"/>
    <x v="2"/>
    <x v="1"/>
    <s v="FUR-CH-10004886"/>
    <s v="Furniture"/>
    <x v="1"/>
    <s v="Bevis Steel Folding Chairs"/>
    <n v="230.28"/>
    <n v="3"/>
    <n v="23.027999999999999"/>
    <x v="3"/>
    <x v="10"/>
  </r>
  <r>
    <s v="CA-2016-116799"/>
    <x v="492"/>
    <d v="2016-03-06T00:00:00"/>
    <x v="2"/>
    <s v="JG-15310"/>
    <s v="Jason Gross"/>
    <x v="1"/>
    <s v="United States"/>
    <x v="221"/>
    <x v="5"/>
    <x v="3"/>
    <s v="FUR-CH-10004983"/>
    <s v="Furniture"/>
    <x v="1"/>
    <s v="Office Star - Mid Back Dual function Ergonomic High Back Chair with 2-Way Adjustable Arms"/>
    <n v="563.42999999999995"/>
    <n v="5"/>
    <n v="-56.343000000000004"/>
    <x v="0"/>
    <x v="9"/>
  </r>
  <r>
    <s v="CA-2015-167745"/>
    <x v="493"/>
    <d v="2015-09-23T00:00:00"/>
    <x v="1"/>
    <s v="GB-14530"/>
    <s v="George Bell"/>
    <x v="1"/>
    <s v="United States"/>
    <x v="2"/>
    <x v="2"/>
    <x v="1"/>
    <s v="FUR-FU-10001591"/>
    <s v="Furniture"/>
    <x v="3"/>
    <s v="Advantus Panel Wall Certificate Holder - 8.5x11"/>
    <n v="24.4"/>
    <n v="2"/>
    <n v="10.247999999999999"/>
    <x v="2"/>
    <x v="4"/>
  </r>
  <r>
    <s v="CA-2016-156251"/>
    <x v="494"/>
    <d v="2016-08-18T00:00:00"/>
    <x v="0"/>
    <s v="TS-21160"/>
    <s v="Theresa Swint"/>
    <x v="1"/>
    <s v="United States"/>
    <x v="222"/>
    <x v="16"/>
    <x v="3"/>
    <s v="FUR-BO-10001337"/>
    <s v="Furniture"/>
    <x v="0"/>
    <s v="O'Sullivan Living Dimensions 2-Shelf Bookcases"/>
    <n v="241.96"/>
    <n v="2"/>
    <n v="24.196000000000002"/>
    <x v="2"/>
    <x v="10"/>
  </r>
  <r>
    <s v="CA-2016-163153"/>
    <x v="445"/>
    <d v="2016-03-25T00:00:00"/>
    <x v="1"/>
    <s v="DM-12955"/>
    <s v="Dario Medina"/>
    <x v="1"/>
    <s v="United States"/>
    <x v="6"/>
    <x v="5"/>
    <x v="3"/>
    <s v="FUR-TA-10004767"/>
    <s v="Furniture"/>
    <x v="2"/>
    <s v="Safco Drafting Table"/>
    <n v="99.372"/>
    <n v="2"/>
    <n v="-1.4196"/>
    <x v="4"/>
    <x v="9"/>
  </r>
  <r>
    <s v="CA-2014-153913"/>
    <x v="439"/>
    <d v="2014-12-20T00:00:00"/>
    <x v="0"/>
    <s v="KB-16585"/>
    <s v="Ken Black"/>
    <x v="1"/>
    <s v="United States"/>
    <x v="173"/>
    <x v="1"/>
    <x v="0"/>
    <s v="FUR-CH-10000988"/>
    <s v="Furniture"/>
    <x v="1"/>
    <s v="Hon Olson Stacker Stools"/>
    <n v="1013.832"/>
    <n v="9"/>
    <n v="101.3832"/>
    <x v="4"/>
    <x v="5"/>
  </r>
  <r>
    <s v="CA-2016-155530"/>
    <x v="495"/>
    <d v="2016-12-21T00:00:00"/>
    <x v="1"/>
    <s v="CM-12160"/>
    <s v="Charles McCrossin"/>
    <x v="0"/>
    <s v="United States"/>
    <x v="28"/>
    <x v="2"/>
    <x v="1"/>
    <s v="FUR-TA-10004256"/>
    <s v="Furniture"/>
    <x v="2"/>
    <s v="Bretford ÒJust In TimeÓ Height-Adjustable Multi-Task Work Tables"/>
    <n v="2003.52"/>
    <n v="6"/>
    <n v="-325.572"/>
    <x v="4"/>
    <x v="5"/>
  </r>
  <r>
    <s v="CA-2015-107937"/>
    <x v="496"/>
    <d v="2015-05-08T00:00:00"/>
    <x v="1"/>
    <s v="JB-16045"/>
    <s v="Julia Barnett"/>
    <x v="2"/>
    <s v="United States"/>
    <x v="223"/>
    <x v="2"/>
    <x v="1"/>
    <s v="FUR-FU-10002298"/>
    <s v="Furniture"/>
    <x v="3"/>
    <s v="Rubbermaid ClusterMat Chairmats, Mat Size- 66&quot; x 60&quot;, Lip 20&quot; x 11&quot; -90 Degree Angle"/>
    <n v="665.88"/>
    <n v="6"/>
    <n v="106.5408"/>
    <x v="2"/>
    <x v="7"/>
  </r>
  <r>
    <s v="US-2014-117163"/>
    <x v="497"/>
    <d v="2014-02-02T00:00:00"/>
    <x v="1"/>
    <s v="EJ-13720"/>
    <s v="Ed Jacobs"/>
    <x v="0"/>
    <s v="United States"/>
    <x v="53"/>
    <x v="2"/>
    <x v="1"/>
    <s v="FUR-TA-10003469"/>
    <s v="Furniture"/>
    <x v="2"/>
    <s v="Balt Split Level Computer Training Table"/>
    <n v="333"/>
    <n v="3"/>
    <n v="-16.649999999999999"/>
    <x v="6"/>
    <x v="8"/>
  </r>
  <r>
    <s v="CA-2017-147760"/>
    <x v="498"/>
    <d v="2017-11-05T00:00:00"/>
    <x v="2"/>
    <s v="KL-16555"/>
    <s v="Kelly Lampkin"/>
    <x v="1"/>
    <s v="United States"/>
    <x v="224"/>
    <x v="30"/>
    <x v="0"/>
    <s v="FUR-TA-10004575"/>
    <s v="Furniture"/>
    <x v="2"/>
    <s v="Hon 5100 Series Wood Tables"/>
    <n v="523.76400000000001"/>
    <n v="3"/>
    <n v="-192.04679999999999"/>
    <x v="5"/>
    <x v="0"/>
  </r>
  <r>
    <s v="CA-2016-156503"/>
    <x v="499"/>
    <d v="2016-10-20T00:00:00"/>
    <x v="1"/>
    <s v="NC-18415"/>
    <s v="Nathan Cano"/>
    <x v="0"/>
    <s v="United States"/>
    <x v="51"/>
    <x v="30"/>
    <x v="0"/>
    <s v="FUR-CH-10003606"/>
    <s v="Furniture"/>
    <x v="1"/>
    <s v="SAFCO Folding Chair Trolley"/>
    <n v="102.592"/>
    <n v="1"/>
    <n v="10.2592"/>
    <x v="6"/>
    <x v="1"/>
  </r>
  <r>
    <s v="CA-2015-113628"/>
    <x v="500"/>
    <d v="2015-11-19T00:00:00"/>
    <x v="1"/>
    <s v="AH-10690"/>
    <s v="Anna HŠberlin"/>
    <x v="1"/>
    <s v="United States"/>
    <x v="217"/>
    <x v="1"/>
    <x v="0"/>
    <s v="FUR-CH-10003298"/>
    <s v="Furniture"/>
    <x v="1"/>
    <s v="Office Star - Contemporary Task Swivel chair with Loop Arms, Charcoal"/>
    <n v="523.91999999999996"/>
    <n v="5"/>
    <n v="-72.039000000000001"/>
    <x v="1"/>
    <x v="0"/>
  </r>
  <r>
    <s v="CA-2015-113628"/>
    <x v="500"/>
    <d v="2015-11-19T00:00:00"/>
    <x v="1"/>
    <s v="AH-10690"/>
    <s v="Anna HŠberlin"/>
    <x v="1"/>
    <s v="United States"/>
    <x v="217"/>
    <x v="1"/>
    <x v="0"/>
    <s v="FUR-CH-10004477"/>
    <s v="Furniture"/>
    <x v="1"/>
    <s v="Global Push Button Manager's Chair, Indigo"/>
    <n v="146.136"/>
    <n v="3"/>
    <n v="16.440300000000001"/>
    <x v="1"/>
    <x v="0"/>
  </r>
  <r>
    <s v="CA-2015-102582"/>
    <x v="195"/>
    <d v="2015-09-19T00:00:00"/>
    <x v="1"/>
    <s v="NW-18400"/>
    <s v="Natalie Webber"/>
    <x v="0"/>
    <s v="United States"/>
    <x v="212"/>
    <x v="33"/>
    <x v="0"/>
    <s v="FUR-TA-10003569"/>
    <s v="Furniture"/>
    <x v="2"/>
    <s v="Bretford CR8500 Series Meeting Room Furniture"/>
    <n v="801.96"/>
    <n v="2"/>
    <n v="200.49"/>
    <x v="4"/>
    <x v="4"/>
  </r>
  <r>
    <s v="CA-2015-102582"/>
    <x v="195"/>
    <d v="2015-09-19T00:00:00"/>
    <x v="1"/>
    <s v="NW-18400"/>
    <s v="Natalie Webber"/>
    <x v="0"/>
    <s v="United States"/>
    <x v="212"/>
    <x v="33"/>
    <x v="0"/>
    <s v="FUR-CH-10004853"/>
    <s v="Furniture"/>
    <x v="1"/>
    <s v="Global Manager's Adjustable Task Chair, Storm"/>
    <n v="1056.8599999999999"/>
    <n v="7"/>
    <n v="306.48939999999999"/>
    <x v="4"/>
    <x v="4"/>
  </r>
  <r>
    <s v="CA-2017-141873"/>
    <x v="224"/>
    <d v="2017-10-14T00:00:00"/>
    <x v="1"/>
    <s v="HG-14845"/>
    <s v="Harry Greene"/>
    <x v="0"/>
    <s v="United States"/>
    <x v="13"/>
    <x v="7"/>
    <x v="2"/>
    <s v="FUR-BO-10003034"/>
    <s v="Furniture"/>
    <x v="0"/>
    <s v="O'Sullivan Elevations Bookcase, Cherry Finish"/>
    <n v="314.35199999999998"/>
    <n v="3"/>
    <n v="-15.717599999999999"/>
    <x v="2"/>
    <x v="1"/>
  </r>
  <r>
    <s v="CA-2017-141733"/>
    <x v="501"/>
    <d v="2017-05-11T00:00:00"/>
    <x v="1"/>
    <s v="RW-19540"/>
    <s v="Rick Wilson"/>
    <x v="1"/>
    <s v="United States"/>
    <x v="25"/>
    <x v="17"/>
    <x v="3"/>
    <s v="FUR-CH-10004086"/>
    <s v="Furniture"/>
    <x v="1"/>
    <s v="Hon 4070 Series Pagoda Armless Upholstered Stacking Chairs"/>
    <n v="1458.65"/>
    <n v="5"/>
    <n v="423.00850000000003"/>
    <x v="4"/>
    <x v="7"/>
  </r>
  <r>
    <s v="CA-2017-141733"/>
    <x v="501"/>
    <d v="2017-05-11T00:00:00"/>
    <x v="1"/>
    <s v="RW-19540"/>
    <s v="Rick Wilson"/>
    <x v="1"/>
    <s v="United States"/>
    <x v="25"/>
    <x v="17"/>
    <x v="3"/>
    <s v="FUR-CH-10002017"/>
    <s v="Furniture"/>
    <x v="1"/>
    <s v="SAFCO Optional Arm Kit for Workspace Cribbage Stacking Chair"/>
    <n v="26.64"/>
    <n v="1"/>
    <n v="7.4592000000000001"/>
    <x v="4"/>
    <x v="7"/>
  </r>
  <r>
    <s v="CA-2017-141733"/>
    <x v="501"/>
    <d v="2017-05-11T00:00:00"/>
    <x v="1"/>
    <s v="RW-19540"/>
    <s v="Rick Wilson"/>
    <x v="1"/>
    <s v="United States"/>
    <x v="25"/>
    <x v="17"/>
    <x v="3"/>
    <s v="FUR-CH-10000595"/>
    <s v="Furniture"/>
    <x v="1"/>
    <s v="Safco Contoured Stacking Chairs"/>
    <n v="476.8"/>
    <n v="2"/>
    <n v="119.2"/>
    <x v="4"/>
    <x v="7"/>
  </r>
  <r>
    <s v="US-2015-111927"/>
    <x v="502"/>
    <d v="2015-11-19T00:00:00"/>
    <x v="1"/>
    <s v="LS-17230"/>
    <s v="Lycoris Saunders"/>
    <x v="0"/>
    <s v="United States"/>
    <x v="63"/>
    <x v="14"/>
    <x v="2"/>
    <s v="FUR-FU-10004017"/>
    <s v="Furniture"/>
    <x v="3"/>
    <s v="Executive Impressions 13&quot; Chairman Wall Clock"/>
    <n v="76.14"/>
    <n v="3"/>
    <n v="26.649000000000001"/>
    <x v="2"/>
    <x v="0"/>
  </r>
  <r>
    <s v="CA-2014-105984"/>
    <x v="168"/>
    <d v="2014-11-24T00:00:00"/>
    <x v="3"/>
    <s v="MY-18295"/>
    <s v="Muhammed Yedwab"/>
    <x v="1"/>
    <s v="United States"/>
    <x v="29"/>
    <x v="15"/>
    <x v="2"/>
    <s v="FUR-CH-10000847"/>
    <s v="Furniture"/>
    <x v="1"/>
    <s v="Global Executive Mid-Back Manager's Chair"/>
    <n v="611.05799999999999"/>
    <n v="3"/>
    <n v="-34.9176"/>
    <x v="7"/>
    <x v="0"/>
  </r>
  <r>
    <s v="CA-2014-126760"/>
    <x v="503"/>
    <d v="2014-08-02T00:00:00"/>
    <x v="1"/>
    <s v="KM-16720"/>
    <s v="Kunst Miller"/>
    <x v="0"/>
    <s v="United States"/>
    <x v="111"/>
    <x v="34"/>
    <x v="1"/>
    <s v="FUR-CH-10003312"/>
    <s v="Furniture"/>
    <x v="1"/>
    <s v="Hon 2090 ÒPillow SoftÓ Series Mid Back Swivel/Tilt Chairs"/>
    <n v="674.35199999999998"/>
    <n v="3"/>
    <n v="-109.5822"/>
    <x v="1"/>
    <x v="3"/>
  </r>
  <r>
    <s v="CA-2014-126760"/>
    <x v="503"/>
    <d v="2014-08-02T00:00:00"/>
    <x v="1"/>
    <s v="KM-16720"/>
    <s v="Kunst Miller"/>
    <x v="0"/>
    <s v="United States"/>
    <x v="111"/>
    <x v="34"/>
    <x v="1"/>
    <s v="FUR-FU-10004018"/>
    <s v="Furniture"/>
    <x v="3"/>
    <s v="Tensor Computer Mounted Lamp"/>
    <n v="134.01"/>
    <n v="9"/>
    <n v="36.182699999999997"/>
    <x v="1"/>
    <x v="3"/>
  </r>
  <r>
    <s v="US-2014-109162"/>
    <x v="391"/>
    <d v="2014-06-12T00:00:00"/>
    <x v="1"/>
    <s v="KE-16420"/>
    <s v="Katrina Edelman"/>
    <x v="1"/>
    <s v="United States"/>
    <x v="203"/>
    <x v="9"/>
    <x v="0"/>
    <s v="FUR-CH-10002647"/>
    <s v="Furniture"/>
    <x v="1"/>
    <s v="Situations Contoured Folding Chairs, 4/Set"/>
    <n v="170.352"/>
    <n v="3"/>
    <n v="10.647"/>
    <x v="4"/>
    <x v="2"/>
  </r>
  <r>
    <s v="CA-2014-101931"/>
    <x v="504"/>
    <d v="2014-10-31T00:00:00"/>
    <x v="2"/>
    <s v="TS-21370"/>
    <s v="Todd Sumrall"/>
    <x v="1"/>
    <s v="United States"/>
    <x v="2"/>
    <x v="2"/>
    <x v="1"/>
    <s v="FUR-BO-10001337"/>
    <s v="Furniture"/>
    <x v="0"/>
    <s v="O'Sullivan Living Dimensions 2-Shelf Bookcases"/>
    <n v="616.99800000000005"/>
    <n v="6"/>
    <n v="-36.293999999999997"/>
    <x v="0"/>
    <x v="1"/>
  </r>
  <r>
    <s v="CA-2015-127593"/>
    <x v="231"/>
    <d v="2015-09-21T00:00:00"/>
    <x v="3"/>
    <s v="DH-13675"/>
    <s v="Duane Huffman"/>
    <x v="2"/>
    <s v="United States"/>
    <x v="202"/>
    <x v="20"/>
    <x v="2"/>
    <s v="FUR-FU-10004006"/>
    <s v="Furniture"/>
    <x v="3"/>
    <s v="Deflect-o DuraMat Lighweight, Studded, Beveled Mat for Low Pile Carpeting"/>
    <n v="85.3"/>
    <n v="2"/>
    <n v="14.500999999999999"/>
    <x v="7"/>
    <x v="4"/>
  </r>
  <r>
    <s v="US-2017-131849"/>
    <x v="505"/>
    <d v="2017-06-10T00:00:00"/>
    <x v="1"/>
    <s v="GH-14410"/>
    <s v="Gary Hansen"/>
    <x v="2"/>
    <s v="United States"/>
    <x v="28"/>
    <x v="2"/>
    <x v="1"/>
    <s v="FUR-FU-10004164"/>
    <s v="Furniture"/>
    <x v="3"/>
    <s v="Eldon 300 Class Desk Accessories, Black"/>
    <n v="4.95"/>
    <n v="1"/>
    <n v="2.1779999999999999"/>
    <x v="4"/>
    <x v="2"/>
  </r>
  <r>
    <s v="CA-2017-154039"/>
    <x v="506"/>
    <d v="2017-02-22T00:00:00"/>
    <x v="1"/>
    <s v="JK-16120"/>
    <s v="Julie Kriz"/>
    <x v="2"/>
    <s v="United States"/>
    <x v="9"/>
    <x v="8"/>
    <x v="3"/>
    <s v="FUR-TA-10001932"/>
    <s v="Furniture"/>
    <x v="2"/>
    <s v="Chromcraft 48&quot; x 96&quot; Racetrack Double Pedestal Table"/>
    <n v="480.96"/>
    <n v="3"/>
    <n v="-269.33760000000001"/>
    <x v="2"/>
    <x v="11"/>
  </r>
  <r>
    <s v="CA-2015-157133"/>
    <x v="44"/>
    <d v="2015-12-03T00:00:00"/>
    <x v="1"/>
    <s v="LC-16885"/>
    <s v="Lena Creighton"/>
    <x v="0"/>
    <s v="United States"/>
    <x v="225"/>
    <x v="8"/>
    <x v="3"/>
    <s v="FUR-FU-10004904"/>
    <s v="Furniture"/>
    <x v="3"/>
    <s v="Eldon &quot;L&quot; Workstation Diamond Chairmat"/>
    <n v="151.96"/>
    <n v="5"/>
    <n v="-182.352"/>
    <x v="2"/>
    <x v="0"/>
  </r>
  <r>
    <s v="CA-2015-132486"/>
    <x v="507"/>
    <d v="2015-10-27T00:00:00"/>
    <x v="0"/>
    <s v="JF-15355"/>
    <s v="Jay Fein"/>
    <x v="0"/>
    <s v="United States"/>
    <x v="53"/>
    <x v="2"/>
    <x v="1"/>
    <s v="FUR-CH-10004495"/>
    <s v="Furniture"/>
    <x v="1"/>
    <s v="Global Leather and Oak Executive Chair, Black"/>
    <n v="240.78399999999999"/>
    <n v="1"/>
    <n v="27.088200000000001"/>
    <x v="4"/>
    <x v="1"/>
  </r>
  <r>
    <s v="CA-2015-132486"/>
    <x v="507"/>
    <d v="2015-10-27T00:00:00"/>
    <x v="0"/>
    <s v="JF-15355"/>
    <s v="Jay Fein"/>
    <x v="0"/>
    <s v="United States"/>
    <x v="53"/>
    <x v="2"/>
    <x v="1"/>
    <s v="FUR-CH-10004540"/>
    <s v="Furniture"/>
    <x v="1"/>
    <s v="Global Chrome Stack Chair"/>
    <n v="191.96799999999999"/>
    <n v="7"/>
    <n v="16.7972"/>
    <x v="4"/>
    <x v="1"/>
  </r>
  <r>
    <s v="CA-2015-132486"/>
    <x v="507"/>
    <d v="2015-10-27T00:00:00"/>
    <x v="0"/>
    <s v="JF-15355"/>
    <s v="Jay Fein"/>
    <x v="0"/>
    <s v="United States"/>
    <x v="53"/>
    <x v="2"/>
    <x v="1"/>
    <s v="FUR-CH-10001854"/>
    <s v="Furniture"/>
    <x v="1"/>
    <s v="Office Star - Professional Matrix Back Chair with 2-to-1 Synchro Tilt and Mesh Fabric Seat"/>
    <n v="842.35199999999998"/>
    <n v="3"/>
    <n v="42.117600000000003"/>
    <x v="4"/>
    <x v="1"/>
  </r>
  <r>
    <s v="CA-2015-129896"/>
    <x v="508"/>
    <d v="2015-06-20T00:00:00"/>
    <x v="1"/>
    <s v="PF-19120"/>
    <s v="Peter Fuller"/>
    <x v="0"/>
    <s v="United States"/>
    <x v="171"/>
    <x v="22"/>
    <x v="1"/>
    <s v="FUR-FU-10004904"/>
    <s v="Furniture"/>
    <x v="3"/>
    <s v="Eldon &quot;L&quot; Workstation Diamond Chairmat"/>
    <n v="364.70400000000001"/>
    <n v="6"/>
    <n v="-36.470399999999998"/>
    <x v="2"/>
    <x v="2"/>
  </r>
  <r>
    <s v="CA-2015-129896"/>
    <x v="508"/>
    <d v="2015-06-20T00:00:00"/>
    <x v="1"/>
    <s v="PF-19120"/>
    <s v="Peter Fuller"/>
    <x v="0"/>
    <s v="United States"/>
    <x v="171"/>
    <x v="22"/>
    <x v="1"/>
    <s v="FUR-FU-10002396"/>
    <s v="Furniture"/>
    <x v="3"/>
    <s v="DAX Copper Panel Document Frame, 5 x 7 Size"/>
    <n v="40.256"/>
    <n v="4"/>
    <n v="11.070399999999999"/>
    <x v="2"/>
    <x v="2"/>
  </r>
  <r>
    <s v="US-2016-163881"/>
    <x v="243"/>
    <d v="2016-11-30T00:00:00"/>
    <x v="1"/>
    <s v="SP-20860"/>
    <s v="Sung Pak"/>
    <x v="1"/>
    <s v="United States"/>
    <x v="2"/>
    <x v="2"/>
    <x v="1"/>
    <s v="FUR-CH-10001394"/>
    <s v="Furniture"/>
    <x v="1"/>
    <s v="Global Leather Executive Chair"/>
    <n v="1684.752"/>
    <n v="6"/>
    <n v="210.59399999999999"/>
    <x v="6"/>
    <x v="0"/>
  </r>
  <r>
    <s v="CA-2015-167010"/>
    <x v="509"/>
    <d v="2015-04-10T00:00:00"/>
    <x v="1"/>
    <s v="VT-21700"/>
    <s v="Valerie Takahito"/>
    <x v="2"/>
    <s v="United States"/>
    <x v="3"/>
    <x v="3"/>
    <x v="2"/>
    <s v="FUR-FU-10001468"/>
    <s v="Furniture"/>
    <x v="3"/>
    <s v="Tenex Antistatic Computer Chair Mats"/>
    <n v="547.13599999999997"/>
    <n v="4"/>
    <n v="-68.391999999999996"/>
    <x v="2"/>
    <x v="6"/>
  </r>
  <r>
    <s v="CA-2015-167010"/>
    <x v="509"/>
    <d v="2015-04-10T00:00:00"/>
    <x v="1"/>
    <s v="VT-21700"/>
    <s v="Valerie Takahito"/>
    <x v="2"/>
    <s v="United States"/>
    <x v="3"/>
    <x v="3"/>
    <x v="2"/>
    <s v="FUR-FU-10001037"/>
    <s v="Furniture"/>
    <x v="3"/>
    <s v="DAX Charcoal/Nickel-Tone Document Frame, 5 x 7"/>
    <n v="7.5839999999999996"/>
    <n v="1"/>
    <n v="2.37"/>
    <x v="2"/>
    <x v="6"/>
  </r>
  <r>
    <s v="CA-2015-167010"/>
    <x v="509"/>
    <d v="2015-04-10T00:00:00"/>
    <x v="1"/>
    <s v="VT-21700"/>
    <s v="Valerie Takahito"/>
    <x v="2"/>
    <s v="United States"/>
    <x v="3"/>
    <x v="3"/>
    <x v="2"/>
    <s v="FUR-BO-10004218"/>
    <s v="Furniture"/>
    <x v="0"/>
    <s v="Bush Heritage Pine Collection 5-Shelf Bookcase, Albany Pine Finish, *Special Order"/>
    <n v="352.45"/>
    <n v="5"/>
    <n v="-211.47"/>
    <x v="2"/>
    <x v="6"/>
  </r>
  <r>
    <s v="CA-2017-148068"/>
    <x v="510"/>
    <d v="2017-09-25T00:00:00"/>
    <x v="1"/>
    <s v="MM-18280"/>
    <s v="Muhammed MacIntyre"/>
    <x v="1"/>
    <s v="United States"/>
    <x v="13"/>
    <x v="7"/>
    <x v="2"/>
    <s v="FUR-FU-10002268"/>
    <s v="Furniture"/>
    <x v="3"/>
    <s v="Ultra Door Push Plate"/>
    <n v="9.82"/>
    <n v="2"/>
    <n v="3.2406000000000001"/>
    <x v="1"/>
    <x v="4"/>
  </r>
  <r>
    <s v="US-2017-142573"/>
    <x v="511"/>
    <d v="2017-07-23T00:00:00"/>
    <x v="1"/>
    <s v="ML-17410"/>
    <s v="Maris LaWare"/>
    <x v="0"/>
    <s v="United States"/>
    <x v="43"/>
    <x v="22"/>
    <x v="1"/>
    <s v="FUR-TA-10001932"/>
    <s v="Furniture"/>
    <x v="2"/>
    <s v="Chromcraft 48&quot; x 96&quot; Racetrack Double Pedestal Table"/>
    <n v="801.6"/>
    <n v="5"/>
    <n v="-448.89600000000002"/>
    <x v="2"/>
    <x v="3"/>
  </r>
  <r>
    <s v="US-2017-142573"/>
    <x v="511"/>
    <d v="2017-07-23T00:00:00"/>
    <x v="1"/>
    <s v="ML-17410"/>
    <s v="Maris LaWare"/>
    <x v="0"/>
    <s v="United States"/>
    <x v="43"/>
    <x v="22"/>
    <x v="1"/>
    <s v="FUR-CH-10004218"/>
    <s v="Furniture"/>
    <x v="1"/>
    <s v="Global Fabric Manager's Chair, Dark Gray"/>
    <n v="161.56800000000001"/>
    <n v="2"/>
    <n v="10.098000000000001"/>
    <x v="2"/>
    <x v="3"/>
  </r>
  <r>
    <s v="US-2017-142573"/>
    <x v="511"/>
    <d v="2017-07-23T00:00:00"/>
    <x v="1"/>
    <s v="ML-17410"/>
    <s v="Maris LaWare"/>
    <x v="0"/>
    <s v="United States"/>
    <x v="43"/>
    <x v="22"/>
    <x v="1"/>
    <s v="FUR-CH-10000513"/>
    <s v="Furniture"/>
    <x v="1"/>
    <s v="High-Back Leather Manager's Chair"/>
    <n v="311.976"/>
    <n v="3"/>
    <n v="-42.896700000000003"/>
    <x v="2"/>
    <x v="3"/>
  </r>
  <r>
    <s v="CA-2014-103940"/>
    <x v="512"/>
    <d v="2014-09-21T00:00:00"/>
    <x v="1"/>
    <s v="BN-11515"/>
    <s v="Bradley Nguyen"/>
    <x v="0"/>
    <s v="United States"/>
    <x v="15"/>
    <x v="13"/>
    <x v="1"/>
    <s v="FUR-FU-10004671"/>
    <s v="Furniture"/>
    <x v="3"/>
    <s v="Executive Impressions 12&quot; Wall Clock"/>
    <n v="35.340000000000003"/>
    <n v="2"/>
    <n v="13.4292"/>
    <x v="4"/>
    <x v="4"/>
  </r>
  <r>
    <s v="CA-2016-162082"/>
    <x v="269"/>
    <d v="2016-03-17T00:00:00"/>
    <x v="2"/>
    <s v="JS-15880"/>
    <s v="John Stevenson"/>
    <x v="0"/>
    <s v="United States"/>
    <x v="226"/>
    <x v="5"/>
    <x v="3"/>
    <s v="FUR-BO-10004409"/>
    <s v="Furniture"/>
    <x v="0"/>
    <s v="Safco Value Mate Series Steel Bookcases, Baked Enamel Finish on Steel, Gray"/>
    <n v="241.33199999999999"/>
    <n v="5"/>
    <n v="-14.196"/>
    <x v="0"/>
    <x v="9"/>
  </r>
  <r>
    <s v="CA-2015-118955"/>
    <x v="513"/>
    <d v="2015-06-20T00:00:00"/>
    <x v="1"/>
    <s v="LS-17230"/>
    <s v="Lycoris Saunders"/>
    <x v="0"/>
    <s v="United States"/>
    <x v="141"/>
    <x v="5"/>
    <x v="3"/>
    <s v="FUR-CH-10001708"/>
    <s v="Furniture"/>
    <x v="1"/>
    <s v="Office Star - Contemporary Swivel Chair with Padded Adjustable Arms and Flex Back"/>
    <n v="197.37200000000001"/>
    <n v="2"/>
    <n v="-25.3764"/>
    <x v="4"/>
    <x v="2"/>
  </r>
  <r>
    <s v="US-2016-143448"/>
    <x v="43"/>
    <d v="2016-12-10T00:00:00"/>
    <x v="3"/>
    <s v="MH-17455"/>
    <s v="Mark Hamilton"/>
    <x v="0"/>
    <s v="United States"/>
    <x v="227"/>
    <x v="6"/>
    <x v="3"/>
    <s v="FUR-CH-10003379"/>
    <s v="Furniture"/>
    <x v="1"/>
    <s v="Global Commerce Series High-Back Swivel/Tilt Chairs"/>
    <n v="1424.9"/>
    <n v="5"/>
    <n v="356.22500000000002"/>
    <x v="7"/>
    <x v="5"/>
  </r>
  <r>
    <s v="CA-2017-117863"/>
    <x v="514"/>
    <d v="2017-05-23T00:00:00"/>
    <x v="1"/>
    <s v="TS-21340"/>
    <s v="Toby Swindell"/>
    <x v="0"/>
    <s v="United States"/>
    <x v="13"/>
    <x v="7"/>
    <x v="2"/>
    <s v="FUR-FU-10002456"/>
    <s v="Furniture"/>
    <x v="3"/>
    <s v="Master Caster Door Stop, Large Neon Orange"/>
    <n v="14.56"/>
    <n v="2"/>
    <n v="6.2607999999999997"/>
    <x v="2"/>
    <x v="7"/>
  </r>
  <r>
    <s v="CA-2016-119963"/>
    <x v="515"/>
    <d v="2016-11-22T00:00:00"/>
    <x v="1"/>
    <s v="SN-20710"/>
    <s v="Steve Nguyen"/>
    <x v="2"/>
    <s v="United States"/>
    <x v="102"/>
    <x v="5"/>
    <x v="3"/>
    <s v="FUR-CH-10003817"/>
    <s v="Furniture"/>
    <x v="1"/>
    <s v="Global Value Steno Chair, Gray"/>
    <n v="255.108"/>
    <n v="6"/>
    <n v="-18.222000000000001"/>
    <x v="4"/>
    <x v="0"/>
  </r>
  <r>
    <s v="CA-2014-133228"/>
    <x v="516"/>
    <d v="2014-04-09T00:00:00"/>
    <x v="1"/>
    <s v="MS-17710"/>
    <s v="Maurice Satty"/>
    <x v="0"/>
    <s v="United States"/>
    <x v="25"/>
    <x v="17"/>
    <x v="3"/>
    <s v="FUR-FU-10004020"/>
    <s v="Furniture"/>
    <x v="3"/>
    <s v="Advantus Panel Wall Acrylic Frame"/>
    <n v="5.47"/>
    <n v="1"/>
    <n v="2.3521000000000001"/>
    <x v="2"/>
    <x v="6"/>
  </r>
  <r>
    <s v="CA-2016-114951"/>
    <x v="517"/>
    <d v="2016-07-03T00:00:00"/>
    <x v="1"/>
    <s v="DN-13690"/>
    <s v="Duane Noonan"/>
    <x v="0"/>
    <s v="United States"/>
    <x v="28"/>
    <x v="2"/>
    <x v="1"/>
    <s v="FUR-FU-10002364"/>
    <s v="Furniture"/>
    <x v="3"/>
    <s v="Eldon Expressions Wood Desk Accessories, Oak"/>
    <n v="22.14"/>
    <n v="3"/>
    <n v="6.4206000000000003"/>
    <x v="1"/>
    <x v="2"/>
  </r>
  <r>
    <s v="CA-2016-156573"/>
    <x v="518"/>
    <d v="2016-06-02T00:00:00"/>
    <x v="1"/>
    <s v="RB-19360"/>
    <s v="Raymond Buch"/>
    <x v="0"/>
    <s v="United States"/>
    <x v="228"/>
    <x v="9"/>
    <x v="0"/>
    <s v="FUR-FU-10001085"/>
    <s v="Furniture"/>
    <x v="3"/>
    <s v="3M Polarizing Light Filter Sleeves"/>
    <n v="44.76"/>
    <n v="3"/>
    <n v="14.547000000000001"/>
    <x v="4"/>
    <x v="7"/>
  </r>
  <r>
    <s v="CA-2017-134838"/>
    <x v="519"/>
    <d v="2017-02-20T00:00:00"/>
    <x v="2"/>
    <s v="ED-13885"/>
    <s v="Emily Ducich"/>
    <x v="2"/>
    <s v="United States"/>
    <x v="2"/>
    <x v="2"/>
    <x v="1"/>
    <s v="FUR-FU-10004018"/>
    <s v="Furniture"/>
    <x v="3"/>
    <s v="Tensor Computer Mounted Lamp"/>
    <n v="44.67"/>
    <n v="3"/>
    <n v="12.0609"/>
    <x v="5"/>
    <x v="11"/>
  </r>
  <r>
    <s v="CA-2016-167556"/>
    <x v="477"/>
    <d v="2016-04-02T00:00:00"/>
    <x v="1"/>
    <s v="JM-15250"/>
    <s v="Janet Martin"/>
    <x v="0"/>
    <s v="United States"/>
    <x v="13"/>
    <x v="7"/>
    <x v="2"/>
    <s v="FUR-FU-10004848"/>
    <s v="Furniture"/>
    <x v="3"/>
    <s v="Howard Miller 13-3/4&quot; Diameter Brushed Chrome Round Wall Clock"/>
    <n v="414"/>
    <n v="8"/>
    <n v="124.2"/>
    <x v="4"/>
    <x v="9"/>
  </r>
  <r>
    <s v="US-2016-116400"/>
    <x v="148"/>
    <d v="2016-10-24T00:00:00"/>
    <x v="2"/>
    <s v="EB-13930"/>
    <s v="Eric Barreto"/>
    <x v="0"/>
    <s v="United States"/>
    <x v="52"/>
    <x v="25"/>
    <x v="0"/>
    <s v="FUR-FU-10003731"/>
    <s v="Furniture"/>
    <x v="3"/>
    <s v="Eldon Expressions Wood and Plastic Desk Accessories, Oak"/>
    <n v="39.92"/>
    <n v="4"/>
    <n v="11.1776"/>
    <x v="3"/>
    <x v="1"/>
  </r>
  <r>
    <s v="CA-2014-114517"/>
    <x v="520"/>
    <d v="2014-12-27T00:00:00"/>
    <x v="1"/>
    <s v="TH-21235"/>
    <s v="Tiffany House"/>
    <x v="1"/>
    <s v="United States"/>
    <x v="13"/>
    <x v="7"/>
    <x v="2"/>
    <s v="FUR-TA-10001676"/>
    <s v="Furniture"/>
    <x v="2"/>
    <s v="Hon 61000 Series Interactive Training Tables"/>
    <n v="53.316000000000003"/>
    <n v="2"/>
    <n v="-19.549199999999999"/>
    <x v="4"/>
    <x v="5"/>
  </r>
  <r>
    <s v="CA-2017-119564"/>
    <x v="521"/>
    <d v="2017-12-20T00:00:00"/>
    <x v="1"/>
    <s v="PL-18925"/>
    <s v="Paul Lucas"/>
    <x v="2"/>
    <s v="United States"/>
    <x v="15"/>
    <x v="13"/>
    <x v="1"/>
    <s v="FUR-FU-10003096"/>
    <s v="Furniture"/>
    <x v="3"/>
    <s v="Master Giant Foot Doorstop, Safety Yellow"/>
    <n v="22.77"/>
    <n v="3"/>
    <n v="9.7911000000000001"/>
    <x v="2"/>
    <x v="5"/>
  </r>
  <r>
    <s v="CA-2016-135265"/>
    <x v="281"/>
    <d v="2016-07-09T00:00:00"/>
    <x v="0"/>
    <s v="CC-12370"/>
    <s v="Christopher Conant"/>
    <x v="0"/>
    <s v="United States"/>
    <x v="2"/>
    <x v="2"/>
    <x v="1"/>
    <s v="FUR-CH-10003061"/>
    <s v="Furniture"/>
    <x v="1"/>
    <s v="Global Leather Task Chair, Black"/>
    <n v="287.96800000000002"/>
    <n v="4"/>
    <n v="-3.5996000000000001"/>
    <x v="3"/>
    <x v="3"/>
  </r>
  <r>
    <s v="CA-2016-108735"/>
    <x v="380"/>
    <d v="2016-04-21T00:00:00"/>
    <x v="1"/>
    <s v="JM-15535"/>
    <s v="Jessica Myrick"/>
    <x v="0"/>
    <s v="United States"/>
    <x v="174"/>
    <x v="2"/>
    <x v="1"/>
    <s v="FUR-BO-10003441"/>
    <s v="Furniture"/>
    <x v="0"/>
    <s v="Bush Westfield Collection Bookcases, Fully Assembled"/>
    <n v="257.49900000000002"/>
    <n v="3"/>
    <n v="24.235199999999999"/>
    <x v="4"/>
    <x v="6"/>
  </r>
  <r>
    <s v="US-2016-159415"/>
    <x v="380"/>
    <d v="2016-04-22T00:00:00"/>
    <x v="1"/>
    <s v="CS-12175"/>
    <s v="Charles Sheldon"/>
    <x v="1"/>
    <s v="United States"/>
    <x v="11"/>
    <x v="9"/>
    <x v="0"/>
    <s v="FUR-FU-10003798"/>
    <s v="Furniture"/>
    <x v="3"/>
    <s v="Ultra Door Kickplate, 8&quot;H x 34&quot;W"/>
    <n v="79.12"/>
    <n v="5"/>
    <n v="13.846"/>
    <x v="2"/>
    <x v="6"/>
  </r>
  <r>
    <s v="CA-2014-122588"/>
    <x v="306"/>
    <d v="2014-11-27T00:00:00"/>
    <x v="0"/>
    <s v="AR-10540"/>
    <s v="Andy Reiter"/>
    <x v="0"/>
    <s v="United States"/>
    <x v="229"/>
    <x v="38"/>
    <x v="2"/>
    <s v="FUR-FU-10001095"/>
    <s v="Furniture"/>
    <x v="3"/>
    <s v="DAX Black Cherry Wood-Tone Poster Frame"/>
    <n v="52.96"/>
    <n v="2"/>
    <n v="20.1248"/>
    <x v="3"/>
    <x v="0"/>
  </r>
  <r>
    <s v="CA-2015-161998"/>
    <x v="522"/>
    <d v="2015-05-05T00:00:00"/>
    <x v="1"/>
    <s v="DB-13120"/>
    <s v="David Bremer"/>
    <x v="1"/>
    <s v="United States"/>
    <x v="26"/>
    <x v="1"/>
    <x v="0"/>
    <s v="FUR-FU-10001095"/>
    <s v="Furniture"/>
    <x v="3"/>
    <s v="DAX Black Cherry Wood-Tone Poster Frame"/>
    <n v="63.552"/>
    <n v="3"/>
    <n v="14.299200000000001"/>
    <x v="4"/>
    <x v="7"/>
  </r>
  <r>
    <s v="CA-2015-105627"/>
    <x v="523"/>
    <d v="2015-03-12T00:00:00"/>
    <x v="1"/>
    <s v="DK-12895"/>
    <s v="Dana Kaydos"/>
    <x v="0"/>
    <s v="United States"/>
    <x v="230"/>
    <x v="16"/>
    <x v="3"/>
    <s v="FUR-BO-10002916"/>
    <s v="Furniture"/>
    <x v="0"/>
    <s v="Rush Hierlooms Collection 1&quot; Thick Stackable Bookcases"/>
    <n v="512.94000000000005"/>
    <n v="3"/>
    <n v="97.458600000000004"/>
    <x v="4"/>
    <x v="9"/>
  </r>
  <r>
    <s v="CA-2015-105627"/>
    <x v="523"/>
    <d v="2015-03-12T00:00:00"/>
    <x v="1"/>
    <s v="DK-12895"/>
    <s v="Dana Kaydos"/>
    <x v="0"/>
    <s v="United States"/>
    <x v="230"/>
    <x v="16"/>
    <x v="3"/>
    <s v="FUR-CH-10002084"/>
    <s v="Furniture"/>
    <x v="1"/>
    <s v="Hon Mobius Operator's Chair"/>
    <n v="860.93"/>
    <n v="7"/>
    <n v="189.40459999999999"/>
    <x v="4"/>
    <x v="9"/>
  </r>
  <r>
    <s v="CA-2015-105627"/>
    <x v="523"/>
    <d v="2015-03-12T00:00:00"/>
    <x v="1"/>
    <s v="DK-12895"/>
    <s v="Dana Kaydos"/>
    <x v="0"/>
    <s v="United States"/>
    <x v="230"/>
    <x v="16"/>
    <x v="3"/>
    <s v="FUR-FU-10000308"/>
    <s v="Furniture"/>
    <x v="3"/>
    <s v="Deflect-o Glass Clear Studded Chair Mats"/>
    <n v="373.08"/>
    <n v="6"/>
    <n v="82.077600000000004"/>
    <x v="4"/>
    <x v="9"/>
  </r>
  <r>
    <s v="US-2015-149629"/>
    <x v="392"/>
    <d v="2015-07-20T00:00:00"/>
    <x v="0"/>
    <s v="MP-17965"/>
    <s v="Michael Paige"/>
    <x v="1"/>
    <s v="United States"/>
    <x v="231"/>
    <x v="1"/>
    <x v="0"/>
    <s v="FUR-BO-10004709"/>
    <s v="Furniture"/>
    <x v="0"/>
    <s v="Bush Westfield Collection Bookcases, Medium Cherry Finish"/>
    <n v="231.92"/>
    <n v="5"/>
    <n v="5.798"/>
    <x v="0"/>
    <x v="3"/>
  </r>
  <r>
    <s v="CA-2014-116834"/>
    <x v="524"/>
    <d v="2014-10-16T00:00:00"/>
    <x v="1"/>
    <s v="Dp-13240"/>
    <s v="Dean percer"/>
    <x v="2"/>
    <s v="United States"/>
    <x v="15"/>
    <x v="13"/>
    <x v="1"/>
    <s v="FUR-FU-10001196"/>
    <s v="Furniture"/>
    <x v="3"/>
    <s v="DAX Cubicle Frames - 8x10"/>
    <n v="63.47"/>
    <n v="11"/>
    <n v="19.041"/>
    <x v="2"/>
    <x v="1"/>
  </r>
  <r>
    <s v="CA-2016-145730"/>
    <x v="492"/>
    <d v="2016-03-08T00:00:00"/>
    <x v="1"/>
    <s v="CC-12220"/>
    <s v="Chris Cortes"/>
    <x v="0"/>
    <s v="United States"/>
    <x v="21"/>
    <x v="5"/>
    <x v="3"/>
    <s v="FUR-TA-10004915"/>
    <s v="Furniture"/>
    <x v="2"/>
    <s v="Office Impressions End Table, 20-1/2&quot;H x 24&quot;W x 20&quot;D"/>
    <n v="637.89599999999996"/>
    <n v="3"/>
    <n v="-127.5792"/>
    <x v="2"/>
    <x v="9"/>
  </r>
  <r>
    <s v="CA-2017-144463"/>
    <x v="143"/>
    <d v="2017-01-05T00:00:00"/>
    <x v="1"/>
    <s v="SC-20725"/>
    <s v="Steven Cartwright"/>
    <x v="0"/>
    <s v="United States"/>
    <x v="2"/>
    <x v="2"/>
    <x v="1"/>
    <s v="FUR-FU-10001215"/>
    <s v="Furniture"/>
    <x v="3"/>
    <s v="Howard Miller 11-1/2&quot; Diameter Brentwood Wall Clock"/>
    <n v="474.43"/>
    <n v="11"/>
    <n v="199.26060000000001"/>
    <x v="4"/>
    <x v="8"/>
  </r>
  <r>
    <s v="CA-2014-154963"/>
    <x v="525"/>
    <d v="2014-06-27T00:00:00"/>
    <x v="1"/>
    <s v="AA-10645"/>
    <s v="Anna Andreadi"/>
    <x v="0"/>
    <s v="United States"/>
    <x v="100"/>
    <x v="3"/>
    <x v="2"/>
    <s v="FUR-CH-10004698"/>
    <s v="Furniture"/>
    <x v="1"/>
    <s v="Padded Folding Chairs, Black, 4/Carton"/>
    <n v="170.05799999999999"/>
    <n v="3"/>
    <n v="-4.8587999999999996"/>
    <x v="2"/>
    <x v="2"/>
  </r>
  <r>
    <s v="CA-2014-154963"/>
    <x v="525"/>
    <d v="2014-06-27T00:00:00"/>
    <x v="1"/>
    <s v="AA-10645"/>
    <s v="Anna Andreadi"/>
    <x v="0"/>
    <s v="United States"/>
    <x v="100"/>
    <x v="3"/>
    <x v="2"/>
    <s v="FUR-CH-10000454"/>
    <s v="Furniture"/>
    <x v="1"/>
    <s v="Hon Deluxe Fabric Upholstered Stacking Chairs, Rounded Back"/>
    <n v="853.93"/>
    <n v="5"/>
    <n v="0"/>
    <x v="2"/>
    <x v="2"/>
  </r>
  <r>
    <s v="CA-2017-130764"/>
    <x v="526"/>
    <d v="2017-10-28T00:00:00"/>
    <x v="2"/>
    <s v="JO-15145"/>
    <s v="Jack O'Briant"/>
    <x v="1"/>
    <s v="United States"/>
    <x v="28"/>
    <x v="2"/>
    <x v="1"/>
    <s v="FUR-BO-10003034"/>
    <s v="Furniture"/>
    <x v="0"/>
    <s v="O'Sullivan Elevations Bookcase, Cherry Finish"/>
    <n v="556.66499999999996"/>
    <n v="5"/>
    <n v="6.5490000000000004"/>
    <x v="5"/>
    <x v="1"/>
  </r>
  <r>
    <s v="CA-2017-124296"/>
    <x v="455"/>
    <d v="2017-12-28T00:00:00"/>
    <x v="1"/>
    <s v="CS-12355"/>
    <s v="Christine Sundaresam"/>
    <x v="0"/>
    <s v="United States"/>
    <x v="120"/>
    <x v="35"/>
    <x v="0"/>
    <s v="FUR-CH-10002439"/>
    <s v="Furniture"/>
    <x v="1"/>
    <s v="Iceberg Nesting Folding Chair, 19w x 6d x 43h"/>
    <n v="232.88"/>
    <n v="4"/>
    <n v="60.5488"/>
    <x v="4"/>
    <x v="5"/>
  </r>
  <r>
    <s v="CA-2014-110786"/>
    <x v="527"/>
    <d v="2015-01-02T00:00:00"/>
    <x v="1"/>
    <s v="AJ-10795"/>
    <s v="Anthony Johnson"/>
    <x v="1"/>
    <s v="United States"/>
    <x v="28"/>
    <x v="2"/>
    <x v="1"/>
    <s v="FUR-FU-10000550"/>
    <s v="Furniture"/>
    <x v="3"/>
    <s v="Stacking Trays by OIC"/>
    <n v="24.9"/>
    <n v="5"/>
    <n v="8.2170000000000005"/>
    <x v="4"/>
    <x v="5"/>
  </r>
  <r>
    <s v="CA-2014-110786"/>
    <x v="527"/>
    <d v="2015-01-02T00:00:00"/>
    <x v="1"/>
    <s v="AJ-10795"/>
    <s v="Anthony Johnson"/>
    <x v="1"/>
    <s v="United States"/>
    <x v="28"/>
    <x v="2"/>
    <x v="1"/>
    <s v="FUR-FU-10000672"/>
    <s v="Furniture"/>
    <x v="3"/>
    <s v="Executive Impressions 10&quot; Spectator Wall Clock"/>
    <n v="70.56"/>
    <n v="6"/>
    <n v="23.990400000000001"/>
    <x v="4"/>
    <x v="5"/>
  </r>
  <r>
    <s v="CA-2015-137750"/>
    <x v="528"/>
    <d v="2015-06-30T00:00:00"/>
    <x v="1"/>
    <s v="JF-15565"/>
    <s v="Jill Fjeld"/>
    <x v="0"/>
    <s v="United States"/>
    <x v="28"/>
    <x v="2"/>
    <x v="1"/>
    <s v="FUR-FU-10001979"/>
    <s v="Furniture"/>
    <x v="3"/>
    <s v="Dana Halogen Swing-Arm Architect Lamp"/>
    <n v="204.85"/>
    <n v="5"/>
    <n v="57.357999999999997"/>
    <x v="2"/>
    <x v="2"/>
  </r>
  <r>
    <s v="CA-2017-136350"/>
    <x v="529"/>
    <d v="2017-06-26T00:00:00"/>
    <x v="0"/>
    <s v="GA-14515"/>
    <s v="George Ashbrook"/>
    <x v="0"/>
    <s v="United States"/>
    <x v="13"/>
    <x v="7"/>
    <x v="2"/>
    <s v="FUR-FU-10003601"/>
    <s v="Furniture"/>
    <x v="3"/>
    <s v="Deflect-o RollaMat Studded, Beveled Mat for Medium Pile Carpeting"/>
    <n v="276.69"/>
    <n v="3"/>
    <n v="49.804200000000002"/>
    <x v="3"/>
    <x v="2"/>
  </r>
  <r>
    <s v="CA-2017-136350"/>
    <x v="529"/>
    <d v="2017-06-26T00:00:00"/>
    <x v="0"/>
    <s v="GA-14515"/>
    <s v="George Ashbrook"/>
    <x v="0"/>
    <s v="United States"/>
    <x v="13"/>
    <x v="7"/>
    <x v="2"/>
    <s v="FUR-CH-10001891"/>
    <s v="Furniture"/>
    <x v="1"/>
    <s v="Global Deluxe Office Fabric Chairs"/>
    <n v="172.76400000000001"/>
    <n v="2"/>
    <n v="32.633200000000002"/>
    <x v="3"/>
    <x v="2"/>
  </r>
  <r>
    <s v="CA-2014-122931"/>
    <x v="189"/>
    <d v="2014-10-03T00:00:00"/>
    <x v="1"/>
    <s v="SM-20950"/>
    <s v="Suzanne McNair"/>
    <x v="1"/>
    <s v="United States"/>
    <x v="3"/>
    <x v="3"/>
    <x v="2"/>
    <s v="FUR-TA-10004175"/>
    <s v="Furniture"/>
    <x v="2"/>
    <s v="Hon 30&quot; x 60&quot; Table with Locking Drawer"/>
    <n v="409.27199999999999"/>
    <n v="2"/>
    <n v="-81.854399999999998"/>
    <x v="4"/>
    <x v="4"/>
  </r>
  <r>
    <s v="CA-2014-122931"/>
    <x v="189"/>
    <d v="2014-10-03T00:00:00"/>
    <x v="1"/>
    <s v="SM-20950"/>
    <s v="Suzanne McNair"/>
    <x v="1"/>
    <s v="United States"/>
    <x v="3"/>
    <x v="3"/>
    <x v="2"/>
    <s v="FUR-TA-10004147"/>
    <s v="Furniture"/>
    <x v="2"/>
    <s v="Hon 4060 Series Tables"/>
    <n v="67.176000000000002"/>
    <n v="1"/>
    <n v="-20.152799999999999"/>
    <x v="4"/>
    <x v="4"/>
  </r>
  <r>
    <s v="CA-2015-124058"/>
    <x v="141"/>
    <d v="2015-11-24T00:00:00"/>
    <x v="1"/>
    <s v="LC-16885"/>
    <s v="Lena Creighton"/>
    <x v="0"/>
    <s v="United States"/>
    <x v="121"/>
    <x v="2"/>
    <x v="1"/>
    <s v="FUR-CH-10000595"/>
    <s v="Furniture"/>
    <x v="1"/>
    <s v="Safco Contoured Stacking Chairs"/>
    <n v="572.16"/>
    <n v="3"/>
    <n v="35.76"/>
    <x v="4"/>
    <x v="0"/>
  </r>
  <r>
    <s v="CA-2016-145303"/>
    <x v="530"/>
    <d v="2016-08-31T00:00:00"/>
    <x v="2"/>
    <s v="TP-21415"/>
    <s v="Tom Prescott"/>
    <x v="0"/>
    <s v="United States"/>
    <x v="144"/>
    <x v="5"/>
    <x v="3"/>
    <s v="FUR-BO-10003159"/>
    <s v="Furniture"/>
    <x v="0"/>
    <s v="Sauder Camden County Collection Libraries, Planked Cherry Finish"/>
    <n v="156.37280000000001"/>
    <n v="2"/>
    <n v="-52.890799999999999"/>
    <x v="0"/>
    <x v="10"/>
  </r>
  <r>
    <s v="CA-2017-108112"/>
    <x v="531"/>
    <d v="2017-11-20T00:00:00"/>
    <x v="1"/>
    <s v="DK-12895"/>
    <s v="Dana Kaydos"/>
    <x v="0"/>
    <s v="United States"/>
    <x v="232"/>
    <x v="1"/>
    <x v="0"/>
    <s v="FUR-FU-10003553"/>
    <s v="Furniture"/>
    <x v="3"/>
    <s v="Howard Miller 13-1/2&quot; Diameter Rosebrook Wall Clock"/>
    <n v="220.06399999999999"/>
    <n v="4"/>
    <n v="55.015999999999998"/>
    <x v="2"/>
    <x v="0"/>
  </r>
  <r>
    <s v="CA-2017-108112"/>
    <x v="531"/>
    <d v="2017-11-20T00:00:00"/>
    <x v="1"/>
    <s v="DK-12895"/>
    <s v="Dana Kaydos"/>
    <x v="0"/>
    <s v="United States"/>
    <x v="232"/>
    <x v="1"/>
    <x v="0"/>
    <s v="FUR-FU-10001488"/>
    <s v="Furniture"/>
    <x v="3"/>
    <s v="Tenex 46&quot; x 60&quot; Computer Anti-Static Chairmat, Rectangular Shaped"/>
    <n v="339.13600000000002"/>
    <n v="4"/>
    <n v="0"/>
    <x v="2"/>
    <x v="0"/>
  </r>
  <r>
    <s v="US-2014-156559"/>
    <x v="532"/>
    <d v="2014-08-26T00:00:00"/>
    <x v="1"/>
    <s v="LH-16900"/>
    <s v="Lena Hernandez"/>
    <x v="0"/>
    <s v="United States"/>
    <x v="93"/>
    <x v="31"/>
    <x v="0"/>
    <s v="FUR-BO-10000711"/>
    <s v="Furniture"/>
    <x v="0"/>
    <s v="Hon Metal Bookcases, Gray"/>
    <n v="638.82000000000005"/>
    <n v="9"/>
    <n v="172.48140000000001"/>
    <x v="1"/>
    <x v="10"/>
  </r>
  <r>
    <s v="CA-2017-137456"/>
    <x v="533"/>
    <d v="2017-12-21T00:00:00"/>
    <x v="3"/>
    <s v="RB-19465"/>
    <s v="Rick Bensley"/>
    <x v="2"/>
    <s v="United States"/>
    <x v="233"/>
    <x v="27"/>
    <x v="3"/>
    <s v="FUR-FU-10001940"/>
    <s v="Furniture"/>
    <x v="3"/>
    <s v="Staple-based wall hangings"/>
    <n v="15.92"/>
    <n v="2"/>
    <n v="7.0048000000000004"/>
    <x v="7"/>
    <x v="5"/>
  </r>
  <r>
    <s v="CA-2015-105599"/>
    <x v="395"/>
    <d v="2015-09-07T00:00:00"/>
    <x v="3"/>
    <s v="MC-17275"/>
    <s v="Marc Crier"/>
    <x v="0"/>
    <s v="United States"/>
    <x v="13"/>
    <x v="7"/>
    <x v="2"/>
    <s v="FUR-TA-10003837"/>
    <s v="Furniture"/>
    <x v="2"/>
    <s v="Anderson Hickey Conga Table Tops &amp; Accessories"/>
    <n v="27.414000000000001"/>
    <n v="3"/>
    <n v="-14.1639"/>
    <x v="7"/>
    <x v="4"/>
  </r>
  <r>
    <s v="CA-2015-153717"/>
    <x v="344"/>
    <d v="2016-01-01T00:00:00"/>
    <x v="1"/>
    <s v="DL-13495"/>
    <s v="Dionis Lloyd"/>
    <x v="1"/>
    <s v="United States"/>
    <x v="25"/>
    <x v="17"/>
    <x v="3"/>
    <s v="FUR-BO-10004360"/>
    <s v="Furniture"/>
    <x v="0"/>
    <s v="Rush Hierlooms Collection Rich Wood Bookcases"/>
    <n v="160.97999999999999"/>
    <n v="1"/>
    <n v="20.927399999999999"/>
    <x v="1"/>
    <x v="5"/>
  </r>
  <r>
    <s v="CA-2017-123239"/>
    <x v="534"/>
    <d v="2017-07-31T00:00:00"/>
    <x v="0"/>
    <s v="MG-18145"/>
    <s v="Mike Gockenbach"/>
    <x v="0"/>
    <s v="United States"/>
    <x v="51"/>
    <x v="1"/>
    <x v="0"/>
    <s v="FUR-FU-10001602"/>
    <s v="Furniture"/>
    <x v="3"/>
    <s v="Eldon Delta Triangular Chair Mat, 52&quot; x 58&quot;, Clear"/>
    <n v="91.031999999999996"/>
    <n v="3"/>
    <n v="-2.2757999999999998"/>
    <x v="4"/>
    <x v="3"/>
  </r>
  <r>
    <s v="CA-2017-127313"/>
    <x v="451"/>
    <d v="2017-12-04T00:00:00"/>
    <x v="2"/>
    <s v="RA-19285"/>
    <s v="Ralph Arnett"/>
    <x v="0"/>
    <s v="United States"/>
    <x v="3"/>
    <x v="3"/>
    <x v="2"/>
    <s v="FUR-FU-10003798"/>
    <s v="Furniture"/>
    <x v="3"/>
    <s v="Ultra Door Kickplate, 8&quot;H x 34&quot;W"/>
    <n v="79.12"/>
    <n v="5"/>
    <n v="13.846"/>
    <x v="0"/>
    <x v="5"/>
  </r>
  <r>
    <s v="CA-2017-112725"/>
    <x v="129"/>
    <d v="2017-02-06T00:00:00"/>
    <x v="1"/>
    <s v="EH-14125"/>
    <s v="Eugene Hildebrand"/>
    <x v="2"/>
    <s v="United States"/>
    <x v="28"/>
    <x v="2"/>
    <x v="1"/>
    <s v="FUR-CH-10000863"/>
    <s v="Furniture"/>
    <x v="1"/>
    <s v="Novimex Swivel Fabric Task Chair"/>
    <n v="120.78400000000001"/>
    <n v="1"/>
    <n v="-13.588200000000001"/>
    <x v="1"/>
    <x v="8"/>
  </r>
  <r>
    <s v="CA-2015-136196"/>
    <x v="44"/>
    <d v="2015-12-04T00:00:00"/>
    <x v="1"/>
    <s v="TP-21415"/>
    <s v="Tom Prescott"/>
    <x v="0"/>
    <s v="United States"/>
    <x v="234"/>
    <x v="7"/>
    <x v="2"/>
    <s v="FUR-FU-10004017"/>
    <s v="Furniture"/>
    <x v="3"/>
    <s v="Tenex Contemporary Contur Chairmats for Low and Medium Pile Carpet, Computer, 39&quot; x 49&quot;"/>
    <n v="322.58999999999997"/>
    <n v="3"/>
    <n v="64.518000000000001"/>
    <x v="6"/>
    <x v="0"/>
  </r>
  <r>
    <s v="CA-2014-157924"/>
    <x v="524"/>
    <d v="2014-10-13T00:00:00"/>
    <x v="2"/>
    <s v="HA-14920"/>
    <s v="Helen Andreada"/>
    <x v="0"/>
    <s v="United States"/>
    <x v="102"/>
    <x v="2"/>
    <x v="1"/>
    <s v="FUR-CH-10000229"/>
    <s v="Furniture"/>
    <x v="1"/>
    <s v="Global Enterprise Series Seating High-Back Swivel/Tilt Chairs"/>
    <n v="433.56799999999998"/>
    <n v="2"/>
    <n v="-65.035200000000003"/>
    <x v="3"/>
    <x v="1"/>
  </r>
  <r>
    <s v="CA-2016-143749"/>
    <x v="28"/>
    <d v="2016-12-07T00:00:00"/>
    <x v="2"/>
    <s v="AG-10300"/>
    <s v="Aleksandra Gannaway"/>
    <x v="1"/>
    <s v="United States"/>
    <x v="20"/>
    <x v="20"/>
    <x v="2"/>
    <s v="FUR-BO-10002853"/>
    <s v="Furniture"/>
    <x v="0"/>
    <s v="O'Sullivan 5-Shelf Heavy-Duty Bookcases"/>
    <n v="81.94"/>
    <n v="1"/>
    <n v="20.484999999999999"/>
    <x v="3"/>
    <x v="5"/>
  </r>
  <r>
    <s v="CA-2015-150875"/>
    <x v="397"/>
    <d v="2015-11-20T00:00:00"/>
    <x v="1"/>
    <s v="HK-14890"/>
    <s v="Heather Kirkland"/>
    <x v="1"/>
    <s v="United States"/>
    <x v="235"/>
    <x v="42"/>
    <x v="1"/>
    <s v="FUR-TA-10000577"/>
    <s v="Furniture"/>
    <x v="2"/>
    <s v="Bretford CR4500 Series Slim Rectangular Table"/>
    <n v="696.42"/>
    <n v="2"/>
    <n v="160.17660000000001"/>
    <x v="4"/>
    <x v="0"/>
  </r>
  <r>
    <s v="CA-2016-124233"/>
    <x v="57"/>
    <d v="2016-04-14T00:00:00"/>
    <x v="1"/>
    <s v="CK-12595"/>
    <s v="Clytie Kelty"/>
    <x v="0"/>
    <s v="United States"/>
    <x v="2"/>
    <x v="2"/>
    <x v="1"/>
    <s v="FUR-FU-10002597"/>
    <s v="Furniture"/>
    <x v="3"/>
    <s v="C-Line Magnetic Cubicle Keepers, Clear Polypropylene"/>
    <n v="24.7"/>
    <n v="5"/>
    <n v="10.374000000000001"/>
    <x v="6"/>
    <x v="6"/>
  </r>
  <r>
    <s v="CA-2014-145387"/>
    <x v="314"/>
    <d v="2014-11-02T00:00:00"/>
    <x v="0"/>
    <s v="AM-10705"/>
    <s v="Anne McFarland"/>
    <x v="0"/>
    <s v="United States"/>
    <x v="236"/>
    <x v="38"/>
    <x v="2"/>
    <s v="FUR-FU-10002364"/>
    <s v="Furniture"/>
    <x v="3"/>
    <s v="Eldon Expressions Wood Desk Accessories, Oak"/>
    <n v="14.76"/>
    <n v="2"/>
    <n v="4.2804000000000002"/>
    <x v="3"/>
    <x v="1"/>
  </r>
  <r>
    <s v="CA-2014-145387"/>
    <x v="314"/>
    <d v="2014-11-02T00:00:00"/>
    <x v="0"/>
    <s v="AM-10705"/>
    <s v="Anne McFarland"/>
    <x v="0"/>
    <s v="United States"/>
    <x v="236"/>
    <x v="38"/>
    <x v="2"/>
    <s v="FUR-FU-10000023"/>
    <s v="Furniture"/>
    <x v="3"/>
    <s v="Eldon Wave Desk Accessories"/>
    <n v="17.670000000000002"/>
    <n v="3"/>
    <n v="7.7747999999999999"/>
    <x v="3"/>
    <x v="1"/>
  </r>
  <r>
    <s v="CA-2014-145387"/>
    <x v="314"/>
    <d v="2014-11-02T00:00:00"/>
    <x v="0"/>
    <s v="AM-10705"/>
    <s v="Anne McFarland"/>
    <x v="0"/>
    <s v="United States"/>
    <x v="236"/>
    <x v="38"/>
    <x v="2"/>
    <s v="FUR-CH-10002320"/>
    <s v="Furniture"/>
    <x v="1"/>
    <s v="Hon Pagoda Stacking Chairs"/>
    <n v="1604.9"/>
    <n v="5"/>
    <n v="481.47"/>
    <x v="3"/>
    <x v="1"/>
  </r>
  <r>
    <s v="CA-2014-145387"/>
    <x v="314"/>
    <d v="2014-11-02T00:00:00"/>
    <x v="0"/>
    <s v="AM-10705"/>
    <s v="Anne McFarland"/>
    <x v="0"/>
    <s v="United States"/>
    <x v="236"/>
    <x v="38"/>
    <x v="2"/>
    <s v="FUR-TA-10003238"/>
    <s v="Furniture"/>
    <x v="2"/>
    <s v="Chromcraft Bull-Nose Wood 48&quot; x 96&quot; Rectangular Conference Tables"/>
    <n v="385.68599999999998"/>
    <n v="1"/>
    <n v="-60.607799999999997"/>
    <x v="3"/>
    <x v="1"/>
  </r>
  <r>
    <s v="CA-2017-149881"/>
    <x v="535"/>
    <d v="2017-04-03T00:00:00"/>
    <x v="2"/>
    <s v="NC-18535"/>
    <s v="Nick Crebassa"/>
    <x v="1"/>
    <s v="United States"/>
    <x v="28"/>
    <x v="2"/>
    <x v="1"/>
    <s v="FUR-BO-10003894"/>
    <s v="Furniture"/>
    <x v="0"/>
    <s v="Safco Value Mate Steel Bookcase, Baked Enamel Finish on Steel, Black"/>
    <n v="482.66399999999999"/>
    <n v="8"/>
    <n v="85.176000000000002"/>
    <x v="3"/>
    <x v="6"/>
  </r>
  <r>
    <s v="CA-2017-134565"/>
    <x v="343"/>
    <d v="2017-06-13T00:00:00"/>
    <x v="0"/>
    <s v="TB-21400"/>
    <s v="Tom Boeckenhauer"/>
    <x v="0"/>
    <s v="United States"/>
    <x v="15"/>
    <x v="13"/>
    <x v="1"/>
    <s v="FUR-BO-10001519"/>
    <s v="Furniture"/>
    <x v="0"/>
    <s v="O'Sullivan 3-Shelf Heavy-Duty Bookcases"/>
    <n v="174.42"/>
    <n v="3"/>
    <n v="41.860799999999998"/>
    <x v="3"/>
    <x v="2"/>
  </r>
  <r>
    <s v="US-2014-102631"/>
    <x v="536"/>
    <d v="2014-12-17T00:00:00"/>
    <x v="1"/>
    <s v="EB-13840"/>
    <s v="Ellis Ballard"/>
    <x v="1"/>
    <s v="United States"/>
    <x v="9"/>
    <x v="8"/>
    <x v="3"/>
    <s v="FUR-FU-10003930"/>
    <s v="Furniture"/>
    <x v="3"/>
    <s v="Howard Miller 12-3/4 Diameter Accuwave DS  Wall Clock"/>
    <n v="94.427999999999997"/>
    <n v="3"/>
    <n v="-42.492600000000003"/>
    <x v="4"/>
    <x v="5"/>
  </r>
  <r>
    <s v="CA-2015-154970"/>
    <x v="537"/>
    <d v="2015-01-10T00:00:00"/>
    <x v="1"/>
    <s v="SR-20740"/>
    <s v="Steven Roelle"/>
    <x v="2"/>
    <s v="United States"/>
    <x v="15"/>
    <x v="13"/>
    <x v="1"/>
    <s v="FUR-CH-10003396"/>
    <s v="Furniture"/>
    <x v="1"/>
    <s v="Global Deluxe Steno Chair"/>
    <n v="61.584000000000003"/>
    <n v="1"/>
    <n v="-6.9282000000000004"/>
    <x v="2"/>
    <x v="8"/>
  </r>
  <r>
    <s v="CA-2017-100223"/>
    <x v="538"/>
    <d v="2017-07-10T00:00:00"/>
    <x v="1"/>
    <s v="LS-16945"/>
    <s v="Linda Southworth"/>
    <x v="1"/>
    <s v="United States"/>
    <x v="144"/>
    <x v="5"/>
    <x v="3"/>
    <s v="FUR-FU-10003601"/>
    <s v="Furniture"/>
    <x v="3"/>
    <s v="Deflect-o RollaMat Studded, Beveled Mat for Medium Pile Carpeting"/>
    <n v="332.02800000000002"/>
    <n v="9"/>
    <n v="-348.62939999999998"/>
    <x v="2"/>
    <x v="3"/>
  </r>
  <r>
    <s v="CA-2017-117702"/>
    <x v="156"/>
    <d v="2017-12-04T00:00:00"/>
    <x v="1"/>
    <s v="LS-16975"/>
    <s v="Lindsay Shagiari"/>
    <x v="2"/>
    <s v="United States"/>
    <x v="237"/>
    <x v="32"/>
    <x v="2"/>
    <s v="FUR-FU-10000576"/>
    <s v="Furniture"/>
    <x v="3"/>
    <s v="Luxo Professional Fluorescent Magnifier Lamp with Clamp-Mount Base"/>
    <n v="1049.2"/>
    <n v="5"/>
    <n v="272.79199999999997"/>
    <x v="6"/>
    <x v="0"/>
  </r>
  <r>
    <s v="CA-2017-117702"/>
    <x v="156"/>
    <d v="2017-12-04T00:00:00"/>
    <x v="1"/>
    <s v="LS-16975"/>
    <s v="Lindsay Shagiari"/>
    <x v="2"/>
    <s v="United States"/>
    <x v="237"/>
    <x v="32"/>
    <x v="2"/>
    <s v="FUR-FU-10004270"/>
    <s v="Furniture"/>
    <x v="3"/>
    <s v="Eldon Image Series Desk Accessories, Burgundy"/>
    <n v="20.9"/>
    <n v="5"/>
    <n v="7.524"/>
    <x v="6"/>
    <x v="0"/>
  </r>
  <r>
    <s v="CA-2016-157336"/>
    <x v="193"/>
    <d v="2016-12-05T00:00:00"/>
    <x v="0"/>
    <s v="SJ-20500"/>
    <s v="Shirley Jackson"/>
    <x v="0"/>
    <s v="United States"/>
    <x v="130"/>
    <x v="19"/>
    <x v="2"/>
    <s v="FUR-CH-10004997"/>
    <s v="Furniture"/>
    <x v="1"/>
    <s v="Hon Every-Day Series Multi-Task Chairs"/>
    <n v="751.92"/>
    <n v="4"/>
    <n v="150.38399999999999"/>
    <x v="4"/>
    <x v="5"/>
  </r>
  <r>
    <s v="CA-2014-168130"/>
    <x v="539"/>
    <d v="2014-09-19T00:00:00"/>
    <x v="3"/>
    <s v="BS-11365"/>
    <s v="Bill Shonely"/>
    <x v="1"/>
    <s v="United States"/>
    <x v="13"/>
    <x v="7"/>
    <x v="2"/>
    <s v="FUR-CH-10000988"/>
    <s v="Furniture"/>
    <x v="1"/>
    <s v="Hon Olson Stacker Stools"/>
    <n v="887.10299999999995"/>
    <n v="7"/>
    <n v="177.42060000000001"/>
    <x v="7"/>
    <x v="4"/>
  </r>
  <r>
    <s v="CA-2017-163160"/>
    <x v="540"/>
    <d v="2017-10-16T00:00:00"/>
    <x v="2"/>
    <s v="TS-21610"/>
    <s v="Troy Staebel"/>
    <x v="0"/>
    <s v="United States"/>
    <x v="234"/>
    <x v="8"/>
    <x v="3"/>
    <s v="FUR-FU-10001424"/>
    <s v="Furniture"/>
    <x v="3"/>
    <s v="Dax Clear Box Frame"/>
    <n v="10.476000000000001"/>
    <n v="3"/>
    <n v="-6.8094000000000001"/>
    <x v="0"/>
    <x v="1"/>
  </r>
  <r>
    <s v="CA-2016-124793"/>
    <x v="269"/>
    <d v="2016-03-16T00:00:00"/>
    <x v="2"/>
    <s v="MM-18280"/>
    <s v="Muhammed MacIntyre"/>
    <x v="1"/>
    <s v="United States"/>
    <x v="15"/>
    <x v="13"/>
    <x v="1"/>
    <s v="FUR-CH-10002880"/>
    <s v="Furniture"/>
    <x v="1"/>
    <s v="Global High-Back Leather Tilter, Burgundy"/>
    <n v="196.78399999999999"/>
    <n v="2"/>
    <n v="-22.138200000000001"/>
    <x v="3"/>
    <x v="9"/>
  </r>
  <r>
    <s v="US-2016-131611"/>
    <x v="541"/>
    <d v="2016-11-09T00:00:00"/>
    <x v="1"/>
    <s v="EP-13915"/>
    <s v="Emily Phan"/>
    <x v="0"/>
    <s v="United States"/>
    <x v="6"/>
    <x v="5"/>
    <x v="3"/>
    <s v="FUR-TA-10002774"/>
    <s v="Furniture"/>
    <x v="2"/>
    <s v="Laminate Occasional Tables"/>
    <n v="863.12800000000004"/>
    <n v="8"/>
    <n v="-160.29519999999999"/>
    <x v="4"/>
    <x v="0"/>
  </r>
  <r>
    <s v="US-2016-131611"/>
    <x v="541"/>
    <d v="2016-11-09T00:00:00"/>
    <x v="1"/>
    <s v="EP-13915"/>
    <s v="Emily Phan"/>
    <x v="0"/>
    <s v="United States"/>
    <x v="6"/>
    <x v="5"/>
    <x v="3"/>
    <s v="FUR-BO-10000780"/>
    <s v="Furniture"/>
    <x v="0"/>
    <s v="O'Sullivan Plantations 2-Door Library in Landvery Oak"/>
    <n v="956.66480000000001"/>
    <n v="7"/>
    <n v="-225.0976"/>
    <x v="4"/>
    <x v="0"/>
  </r>
  <r>
    <s v="US-2017-124821"/>
    <x v="542"/>
    <d v="2017-06-29T00:00:00"/>
    <x v="0"/>
    <s v="AM-10705"/>
    <s v="Anne McFarland"/>
    <x v="0"/>
    <s v="United States"/>
    <x v="15"/>
    <x v="13"/>
    <x v="1"/>
    <s v="FUR-TA-10000688"/>
    <s v="Furniture"/>
    <x v="2"/>
    <s v="Chromcraft Bull-Nose Wood Round Conference Table Top, Wood Base"/>
    <n v="871.4"/>
    <n v="4"/>
    <n v="148.13800000000001"/>
    <x v="4"/>
    <x v="2"/>
  </r>
  <r>
    <s v="CA-2015-166975"/>
    <x v="543"/>
    <d v="2015-11-30T00:00:00"/>
    <x v="1"/>
    <s v="SH-20635"/>
    <s v="Stefanie Holloman"/>
    <x v="1"/>
    <s v="United States"/>
    <x v="38"/>
    <x v="9"/>
    <x v="0"/>
    <s v="FUR-FU-10003930"/>
    <s v="Furniture"/>
    <x v="3"/>
    <s v="Howard Miller 12-3/4 Diameter Accuwave DS  Wall Clock"/>
    <n v="692.47199999999998"/>
    <n v="11"/>
    <n v="190.4298"/>
    <x v="4"/>
    <x v="0"/>
  </r>
  <r>
    <s v="CA-2016-123806"/>
    <x v="243"/>
    <d v="2016-11-27T00:00:00"/>
    <x v="0"/>
    <s v="LA-16780"/>
    <s v="Laura Armstrong"/>
    <x v="1"/>
    <s v="United States"/>
    <x v="237"/>
    <x v="32"/>
    <x v="2"/>
    <s v="FUR-FU-10000965"/>
    <s v="Furniture"/>
    <x v="3"/>
    <s v="Howard Miller 11-1/2&quot; Diameter Ridgewood Wall Clock"/>
    <n v="207.76"/>
    <n v="4"/>
    <n v="85.181600000000003"/>
    <x v="0"/>
    <x v="0"/>
  </r>
  <r>
    <s v="US-2016-107440"/>
    <x v="544"/>
    <d v="2016-04-20T00:00:00"/>
    <x v="1"/>
    <s v="BS-11365"/>
    <s v="Bill Shonely"/>
    <x v="1"/>
    <s v="United States"/>
    <x v="174"/>
    <x v="18"/>
    <x v="2"/>
    <s v="FUR-FU-10000550"/>
    <s v="Furniture"/>
    <x v="3"/>
    <s v="Stacking Trays by OIC"/>
    <n v="9.9600000000000009"/>
    <n v="2"/>
    <n v="3.2867999999999999"/>
    <x v="4"/>
    <x v="6"/>
  </r>
  <r>
    <s v="CA-2014-166989"/>
    <x v="545"/>
    <d v="2014-11-18T00:00:00"/>
    <x v="1"/>
    <s v="RM-19675"/>
    <s v="Robert Marley"/>
    <x v="2"/>
    <s v="United States"/>
    <x v="13"/>
    <x v="7"/>
    <x v="2"/>
    <s v="FUR-CH-10001797"/>
    <s v="Furniture"/>
    <x v="1"/>
    <s v="Safco Chair Connectors, 6/Carton"/>
    <n v="69.263999999999996"/>
    <n v="2"/>
    <n v="14.622400000000001"/>
    <x v="4"/>
    <x v="0"/>
  </r>
  <r>
    <s v="CA-2015-105690"/>
    <x v="32"/>
    <d v="2015-11-26T00:00:00"/>
    <x v="0"/>
    <s v="CA-11965"/>
    <s v="Carol Adams"/>
    <x v="1"/>
    <s v="United States"/>
    <x v="238"/>
    <x v="5"/>
    <x v="3"/>
    <s v="FUR-BO-10003965"/>
    <s v="Furniture"/>
    <x v="0"/>
    <s v="O'Sullivan Manor Hill 2-Door Library in Brianna Oak"/>
    <n v="246.1328"/>
    <n v="2"/>
    <n v="-76.011600000000001"/>
    <x v="2"/>
    <x v="0"/>
  </r>
  <r>
    <s v="CA-2017-102407"/>
    <x v="13"/>
    <d v="2017-12-13T00:00:00"/>
    <x v="0"/>
    <s v="AT-10435"/>
    <s v="Alyssa Tate"/>
    <x v="2"/>
    <s v="United States"/>
    <x v="2"/>
    <x v="2"/>
    <x v="1"/>
    <s v="FUR-TA-10003748"/>
    <s v="Furniture"/>
    <x v="2"/>
    <s v="Bevis 36 x 72 Conference Tables"/>
    <n v="896.32799999999997"/>
    <n v="9"/>
    <n v="22.408200000000001"/>
    <x v="4"/>
    <x v="5"/>
  </r>
  <r>
    <s v="CA-2017-101581"/>
    <x v="546"/>
    <d v="2017-10-27T00:00:00"/>
    <x v="1"/>
    <s v="DW-13195"/>
    <s v="David Wiener"/>
    <x v="1"/>
    <s v="United States"/>
    <x v="125"/>
    <x v="36"/>
    <x v="1"/>
    <s v="FUR-TA-10002607"/>
    <s v="Furniture"/>
    <x v="2"/>
    <s v="KI Conference Tables"/>
    <n v="177.22499999999999"/>
    <n v="5"/>
    <n v="-120.51300000000001"/>
    <x v="2"/>
    <x v="1"/>
  </r>
  <r>
    <s v="CA-2017-169124"/>
    <x v="209"/>
    <d v="2017-07-10T00:00:00"/>
    <x v="1"/>
    <s v="MB-17305"/>
    <s v="Maria Bertelson"/>
    <x v="0"/>
    <s v="United States"/>
    <x v="239"/>
    <x v="2"/>
    <x v="1"/>
    <s v="FUR-FU-10001215"/>
    <s v="Furniture"/>
    <x v="3"/>
    <s v="Howard Miller 11-1/2&quot; Diameter Brentwood Wall Clock"/>
    <n v="129.38999999999999"/>
    <n v="3"/>
    <n v="54.343800000000002"/>
    <x v="1"/>
    <x v="3"/>
  </r>
  <r>
    <s v="CA-2017-129021"/>
    <x v="547"/>
    <d v="2017-08-26T00:00:00"/>
    <x v="0"/>
    <s v="PO-18850"/>
    <s v="Patrick O'Brill"/>
    <x v="0"/>
    <s v="United States"/>
    <x v="199"/>
    <x v="1"/>
    <x v="0"/>
    <s v="FUR-FU-10001852"/>
    <s v="Furniture"/>
    <x v="3"/>
    <s v="Eldon Regeneration Recycled Desk Accessories, Smoke"/>
    <n v="2.7839999999999998"/>
    <n v="2"/>
    <n v="0.41760000000000003"/>
    <x v="0"/>
    <x v="10"/>
  </r>
  <r>
    <s v="CA-2014-162278"/>
    <x v="548"/>
    <d v="2014-10-30T00:00:00"/>
    <x v="0"/>
    <s v="AH-10585"/>
    <s v="Angele Hood"/>
    <x v="0"/>
    <s v="United States"/>
    <x v="15"/>
    <x v="13"/>
    <x v="1"/>
    <s v="FUR-FU-10000448"/>
    <s v="Furniture"/>
    <x v="3"/>
    <s v="Tenex Chairmats For Use With Carpeted Floors"/>
    <n v="63.92"/>
    <n v="4"/>
    <n v="3.1960000000000002"/>
    <x v="4"/>
    <x v="1"/>
  </r>
  <r>
    <s v="CA-2014-125829"/>
    <x v="53"/>
    <d v="2014-11-11T00:00:00"/>
    <x v="1"/>
    <s v="WB-21850"/>
    <s v="William Brown"/>
    <x v="0"/>
    <s v="United States"/>
    <x v="2"/>
    <x v="2"/>
    <x v="1"/>
    <s v="FUR-TA-10002041"/>
    <s v="Furniture"/>
    <x v="2"/>
    <s v="Bevis Round Conference Table Top, X-Base"/>
    <n v="573.72799999999995"/>
    <n v="4"/>
    <n v="-64.544399999999996"/>
    <x v="1"/>
    <x v="0"/>
  </r>
  <r>
    <s v="US-2017-136189"/>
    <x v="549"/>
    <d v="2017-12-11T00:00:00"/>
    <x v="1"/>
    <s v="DC-13285"/>
    <s v="Debra Catini"/>
    <x v="0"/>
    <s v="United States"/>
    <x v="52"/>
    <x v="25"/>
    <x v="0"/>
    <s v="FUR-FU-10000175"/>
    <s v="Furniture"/>
    <x v="3"/>
    <s v="DAX Wood Document Frame."/>
    <n v="82.38"/>
    <n v="6"/>
    <n v="25.537800000000001"/>
    <x v="4"/>
    <x v="5"/>
  </r>
  <r>
    <s v="CA-2015-154795"/>
    <x v="274"/>
    <d v="2015-12-24T00:00:00"/>
    <x v="1"/>
    <s v="GZ-14470"/>
    <s v="Gary Zandusky"/>
    <x v="0"/>
    <s v="United States"/>
    <x v="240"/>
    <x v="22"/>
    <x v="1"/>
    <s v="FUR-FU-10002088"/>
    <s v="Furniture"/>
    <x v="3"/>
    <s v="Nu-Dell Float Frame 11 x 14 1/2"/>
    <n v="14.368"/>
    <n v="2"/>
    <n v="3.9512"/>
    <x v="4"/>
    <x v="5"/>
  </r>
  <r>
    <s v="CA-2016-120355"/>
    <x v="126"/>
    <d v="2016-09-25T00:00:00"/>
    <x v="1"/>
    <s v="MM-17260"/>
    <s v="Magdelene Morse"/>
    <x v="0"/>
    <s v="United States"/>
    <x v="241"/>
    <x v="7"/>
    <x v="2"/>
    <s v="FUR-CH-10001394"/>
    <s v="Furniture"/>
    <x v="1"/>
    <s v="Global Leather Executive Chair"/>
    <n v="631.78200000000004"/>
    <n v="2"/>
    <n v="140.39599999999999"/>
    <x v="1"/>
    <x v="4"/>
  </r>
  <r>
    <s v="CA-2016-120355"/>
    <x v="126"/>
    <d v="2016-09-25T00:00:00"/>
    <x v="1"/>
    <s v="MM-17260"/>
    <s v="Magdelene Morse"/>
    <x v="0"/>
    <s v="United States"/>
    <x v="241"/>
    <x v="7"/>
    <x v="2"/>
    <s v="FUR-FU-10004053"/>
    <s v="Furniture"/>
    <x v="3"/>
    <s v="DAX Two-Tone Silver Metal Document Frame"/>
    <n v="60.72"/>
    <n v="3"/>
    <n v="26.1096"/>
    <x v="1"/>
    <x v="4"/>
  </r>
  <r>
    <s v="CA-2017-162565"/>
    <x v="246"/>
    <d v="2017-12-11T00:00:00"/>
    <x v="3"/>
    <s v="RR-19315"/>
    <s v="Ralph Ritter"/>
    <x v="0"/>
    <s v="United States"/>
    <x v="14"/>
    <x v="8"/>
    <x v="3"/>
    <s v="FUR-FU-10004306"/>
    <s v="Furniture"/>
    <x v="3"/>
    <s v="Electrix Halogen Magnifier Lamp"/>
    <n v="77.72"/>
    <n v="1"/>
    <n v="-66.061999999999998"/>
    <x v="7"/>
    <x v="5"/>
  </r>
  <r>
    <s v="CA-2017-162565"/>
    <x v="246"/>
    <d v="2017-12-11T00:00:00"/>
    <x v="3"/>
    <s v="RR-19315"/>
    <s v="Ralph Ritter"/>
    <x v="0"/>
    <s v="United States"/>
    <x v="14"/>
    <x v="8"/>
    <x v="3"/>
    <s v="FUR-CH-10003973"/>
    <s v="Furniture"/>
    <x v="1"/>
    <s v="GuestStacker Chair with Chrome Finish Legs"/>
    <n v="520.46400000000006"/>
    <n v="2"/>
    <n v="-14.8704"/>
    <x v="7"/>
    <x v="5"/>
  </r>
  <r>
    <s v="CA-2014-166954"/>
    <x v="550"/>
    <d v="2014-04-30T00:00:00"/>
    <x v="1"/>
    <s v="BT-11305"/>
    <s v="Beth Thompson"/>
    <x v="2"/>
    <s v="United States"/>
    <x v="242"/>
    <x v="2"/>
    <x v="1"/>
    <s v="FUR-FU-10003708"/>
    <s v="Furniture"/>
    <x v="3"/>
    <s v="Tenex Traditional Chairmats for Medium Pile Carpet, Standard Lip, 36&quot; x 48&quot;"/>
    <n v="303.25"/>
    <n v="5"/>
    <n v="63.682499999999997"/>
    <x v="2"/>
    <x v="6"/>
  </r>
  <r>
    <s v="CA-2014-166954"/>
    <x v="550"/>
    <d v="2014-04-30T00:00:00"/>
    <x v="1"/>
    <s v="BT-11305"/>
    <s v="Beth Thompson"/>
    <x v="2"/>
    <s v="United States"/>
    <x v="242"/>
    <x v="2"/>
    <x v="1"/>
    <s v="FUR-CH-10003973"/>
    <s v="Furniture"/>
    <x v="1"/>
    <s v="GuestStacker Chair with Chrome Finish Legs"/>
    <n v="1487.04"/>
    <n v="5"/>
    <n v="148.70400000000001"/>
    <x v="2"/>
    <x v="6"/>
  </r>
  <r>
    <s v="CA-2015-152891"/>
    <x v="551"/>
    <d v="2015-10-30T00:00:00"/>
    <x v="1"/>
    <s v="TB-21625"/>
    <s v="Trudy Brown"/>
    <x v="0"/>
    <s v="United States"/>
    <x v="28"/>
    <x v="2"/>
    <x v="1"/>
    <s v="FUR-TA-10001857"/>
    <s v="Furniture"/>
    <x v="2"/>
    <s v="Balt Solid Wood Rectangular Table"/>
    <n v="253.17599999999999"/>
    <n v="3"/>
    <n v="-31.646999999999998"/>
    <x v="2"/>
    <x v="1"/>
  </r>
  <r>
    <s v="US-2015-122784"/>
    <x v="552"/>
    <d v="2015-07-27T00:00:00"/>
    <x v="1"/>
    <s v="RA-19915"/>
    <s v="Russell Applegate"/>
    <x v="0"/>
    <s v="United States"/>
    <x v="185"/>
    <x v="8"/>
    <x v="3"/>
    <s v="FUR-BO-10004690"/>
    <s v="Furniture"/>
    <x v="0"/>
    <s v="O'Sullivan Cherrywood Estates Traditional Barrister Bookcase"/>
    <n v="384.94400000000002"/>
    <n v="4"/>
    <n v="-126.4816"/>
    <x v="1"/>
    <x v="3"/>
  </r>
  <r>
    <s v="US-2015-122784"/>
    <x v="552"/>
    <d v="2015-07-27T00:00:00"/>
    <x v="1"/>
    <s v="RA-19915"/>
    <s v="Russell Applegate"/>
    <x v="0"/>
    <s v="United States"/>
    <x v="185"/>
    <x v="8"/>
    <x v="3"/>
    <s v="FUR-BO-10002545"/>
    <s v="Furniture"/>
    <x v="0"/>
    <s v="Atlantic Metals Mobile 3-Shelf Bookcases, Custom Colors"/>
    <n v="913.43"/>
    <n v="5"/>
    <n v="-52.195999999999998"/>
    <x v="1"/>
    <x v="3"/>
  </r>
  <r>
    <s v="CA-2017-111556"/>
    <x v="93"/>
    <d v="2017-11-22T00:00:00"/>
    <x v="2"/>
    <s v="CD-11920"/>
    <s v="Carlos Daly"/>
    <x v="0"/>
    <s v="United States"/>
    <x v="13"/>
    <x v="7"/>
    <x v="2"/>
    <s v="FUR-BO-10003159"/>
    <s v="Furniture"/>
    <x v="0"/>
    <s v="Sauder Camden County Collection Libraries, Planked Cherry Finish"/>
    <n v="183.96799999999999"/>
    <n v="2"/>
    <n v="-25.2956"/>
    <x v="3"/>
    <x v="0"/>
  </r>
  <r>
    <s v="US-2014-138758"/>
    <x v="553"/>
    <d v="2014-07-11T00:00:00"/>
    <x v="1"/>
    <s v="JL-15835"/>
    <s v="John Lee"/>
    <x v="0"/>
    <s v="United States"/>
    <x v="3"/>
    <x v="3"/>
    <x v="2"/>
    <s v="FUR-CH-10002880"/>
    <s v="Furniture"/>
    <x v="1"/>
    <s v="Global High-Back Leather Tilter, Burgundy"/>
    <n v="172.18600000000001"/>
    <n v="2"/>
    <n v="-46.736199999999997"/>
    <x v="4"/>
    <x v="3"/>
  </r>
  <r>
    <s v="US-2014-138758"/>
    <x v="553"/>
    <d v="2014-07-11T00:00:00"/>
    <x v="1"/>
    <s v="JL-15835"/>
    <s v="John Lee"/>
    <x v="0"/>
    <s v="United States"/>
    <x v="3"/>
    <x v="3"/>
    <x v="2"/>
    <s v="FUR-FU-10003039"/>
    <s v="Furniture"/>
    <x v="3"/>
    <s v="Howard Miller 11-1/2&quot; Diameter Grantwood Wall Clock"/>
    <n v="69.007999999999996"/>
    <n v="2"/>
    <n v="12.0764"/>
    <x v="4"/>
    <x v="3"/>
  </r>
  <r>
    <s v="CA-2016-131737"/>
    <x v="554"/>
    <d v="2016-03-17T00:00:00"/>
    <x v="3"/>
    <s v="GZ-14470"/>
    <s v="Gary Zandusky"/>
    <x v="0"/>
    <s v="United States"/>
    <x v="11"/>
    <x v="32"/>
    <x v="2"/>
    <s v="FUR-FU-10004306"/>
    <s v="Furniture"/>
    <x v="3"/>
    <s v="Electrix Halogen Magnifier Lamp"/>
    <n v="971.5"/>
    <n v="5"/>
    <n v="252.59"/>
    <x v="7"/>
    <x v="9"/>
  </r>
  <r>
    <s v="CA-2014-160157"/>
    <x v="191"/>
    <d v="2014-12-27T00:00:00"/>
    <x v="1"/>
    <s v="MH-17455"/>
    <s v="Mark Hamilton"/>
    <x v="0"/>
    <s v="United States"/>
    <x v="243"/>
    <x v="15"/>
    <x v="2"/>
    <s v="FUR-FU-10003773"/>
    <s v="Furniture"/>
    <x v="3"/>
    <s v="Eldon Cleatmat Plus Chair Mats for High Pile Carpets"/>
    <n v="190.84800000000001"/>
    <n v="3"/>
    <n v="-21.470400000000001"/>
    <x v="1"/>
    <x v="5"/>
  </r>
  <r>
    <s v="CA-2017-159464"/>
    <x v="514"/>
    <d v="2017-05-19T00:00:00"/>
    <x v="2"/>
    <s v="TB-21355"/>
    <s v="Todd Boyes"/>
    <x v="1"/>
    <s v="United States"/>
    <x v="244"/>
    <x v="24"/>
    <x v="0"/>
    <s v="FUR-BO-10003546"/>
    <s v="Furniture"/>
    <x v="0"/>
    <s v="Hon 4-Shelf Metal Bookcases"/>
    <n v="302.94"/>
    <n v="3"/>
    <n v="75.734999999999999"/>
    <x v="5"/>
    <x v="7"/>
  </r>
  <r>
    <s v="CA-2017-119452"/>
    <x v="555"/>
    <d v="2017-03-27T00:00:00"/>
    <x v="1"/>
    <s v="CL-12565"/>
    <s v="Clay Ludtke"/>
    <x v="0"/>
    <s v="United States"/>
    <x v="169"/>
    <x v="37"/>
    <x v="3"/>
    <s v="FUR-CH-10004495"/>
    <s v="Furniture"/>
    <x v="1"/>
    <s v="Global Leather and Oak Executive Chair, Black"/>
    <n v="1805.88"/>
    <n v="6"/>
    <n v="523.70519999999999"/>
    <x v="6"/>
    <x v="9"/>
  </r>
  <r>
    <s v="CA-2016-168893"/>
    <x v="361"/>
    <d v="2016-11-08T00:00:00"/>
    <x v="0"/>
    <s v="AP-10915"/>
    <s v="Arthur Prichep"/>
    <x v="0"/>
    <s v="United States"/>
    <x v="0"/>
    <x v="0"/>
    <x v="0"/>
    <s v="FUR-FU-10002885"/>
    <s v="Furniture"/>
    <x v="3"/>
    <s v="Magna Visual Magnetic Picture Hangers"/>
    <n v="24.1"/>
    <n v="5"/>
    <n v="9.1579999999999995"/>
    <x v="2"/>
    <x v="0"/>
  </r>
  <r>
    <s v="CA-2016-168893"/>
    <x v="361"/>
    <d v="2016-11-08T00:00:00"/>
    <x v="0"/>
    <s v="AP-10915"/>
    <s v="Arthur Prichep"/>
    <x v="0"/>
    <s v="United States"/>
    <x v="0"/>
    <x v="0"/>
    <x v="0"/>
    <s v="FUR-TA-10003392"/>
    <s v="Furniture"/>
    <x v="2"/>
    <s v="Global Adaptabilities Conference Tables"/>
    <n v="842.94"/>
    <n v="3"/>
    <n v="160.15860000000001"/>
    <x v="2"/>
    <x v="0"/>
  </r>
  <r>
    <s v="CA-2015-121965"/>
    <x v="556"/>
    <d v="2015-06-23T00:00:00"/>
    <x v="1"/>
    <s v="LH-17155"/>
    <s v="Logan Haushalter"/>
    <x v="0"/>
    <s v="United States"/>
    <x v="2"/>
    <x v="2"/>
    <x v="1"/>
    <s v="FUR-FU-10000732"/>
    <s v="Furniture"/>
    <x v="3"/>
    <s v="Eldon 200 Class Desk Accessories"/>
    <n v="12.56"/>
    <n v="2"/>
    <n v="4.0191999999999997"/>
    <x v="4"/>
    <x v="2"/>
  </r>
  <r>
    <s v="CA-2016-147137"/>
    <x v="557"/>
    <d v="2016-07-06T00:00:00"/>
    <x v="2"/>
    <s v="AA-10645"/>
    <s v="Anna Andreadi"/>
    <x v="0"/>
    <s v="United States"/>
    <x v="28"/>
    <x v="2"/>
    <x v="1"/>
    <s v="FUR-FU-10000221"/>
    <s v="Furniture"/>
    <x v="3"/>
    <s v="Master Caster Door Stop, Brown"/>
    <n v="25.4"/>
    <n v="5"/>
    <n v="8.6359999999999992"/>
    <x v="3"/>
    <x v="3"/>
  </r>
  <r>
    <s v="CA-2016-147137"/>
    <x v="557"/>
    <d v="2016-07-06T00:00:00"/>
    <x v="2"/>
    <s v="AA-10645"/>
    <s v="Anna Andreadi"/>
    <x v="0"/>
    <s v="United States"/>
    <x v="28"/>
    <x v="2"/>
    <x v="1"/>
    <s v="FUR-BO-10001811"/>
    <s v="Furniture"/>
    <x v="0"/>
    <s v="Atlantic Metals Mobile 5-Shelf Bookcases, Custom Colors"/>
    <n v="1279.165"/>
    <n v="5"/>
    <n v="225.73500000000001"/>
    <x v="3"/>
    <x v="3"/>
  </r>
  <r>
    <s v="US-2015-146745"/>
    <x v="558"/>
    <d v="2015-09-08T00:00:00"/>
    <x v="1"/>
    <s v="AS-10630"/>
    <s v="Ann Steele"/>
    <x v="2"/>
    <s v="United States"/>
    <x v="28"/>
    <x v="2"/>
    <x v="1"/>
    <s v="FUR-CH-10002372"/>
    <s v="Furniture"/>
    <x v="1"/>
    <s v="Office Star - Ergonomically Designed Knee Chair"/>
    <n v="129.56800000000001"/>
    <n v="2"/>
    <n v="-12.956799999999999"/>
    <x v="2"/>
    <x v="4"/>
  </r>
  <r>
    <s v="US-2017-125717"/>
    <x v="559"/>
    <d v="2017-10-01T00:00:00"/>
    <x v="2"/>
    <s v="DS-13030"/>
    <s v="Darrin Sayre"/>
    <x v="2"/>
    <s v="United States"/>
    <x v="14"/>
    <x v="12"/>
    <x v="1"/>
    <s v="FUR-FU-10001979"/>
    <s v="Furniture"/>
    <x v="3"/>
    <s v="Dana Halogen Swing-Arm Architect Lamp"/>
    <n v="32.776000000000003"/>
    <n v="1"/>
    <n v="3.2776000000000001"/>
    <x v="0"/>
    <x v="4"/>
  </r>
  <r>
    <s v="CA-2017-168641"/>
    <x v="241"/>
    <d v="2017-12-01T00:00:00"/>
    <x v="1"/>
    <s v="KA-16525"/>
    <s v="Kelly Andreada"/>
    <x v="0"/>
    <s v="United States"/>
    <x v="13"/>
    <x v="7"/>
    <x v="2"/>
    <s v="FUR-BO-10000780"/>
    <s v="Furniture"/>
    <x v="0"/>
    <s v="O'Sullivan Plantations 2-Door Library in Landvery Oak"/>
    <n v="321.56799999999998"/>
    <n v="2"/>
    <n v="-16.078399999999998"/>
    <x v="1"/>
    <x v="0"/>
  </r>
  <r>
    <s v="CA-2017-156895"/>
    <x v="258"/>
    <d v="2017-05-12T00:00:00"/>
    <x v="1"/>
    <s v="DJ-13510"/>
    <s v="Don Jones"/>
    <x v="1"/>
    <s v="United States"/>
    <x v="3"/>
    <x v="3"/>
    <x v="2"/>
    <s v="FUR-CH-10003535"/>
    <s v="Furniture"/>
    <x v="1"/>
    <s v="Global Armless Task Chair, Royal Blue"/>
    <n v="128.05799999999999"/>
    <n v="3"/>
    <n v="-23.7822"/>
    <x v="4"/>
    <x v="7"/>
  </r>
  <r>
    <s v="CA-2017-121300"/>
    <x v="560"/>
    <d v="2017-09-29T00:00:00"/>
    <x v="3"/>
    <s v="MG-17680"/>
    <s v="Maureen Gastineau"/>
    <x v="2"/>
    <s v="United States"/>
    <x v="245"/>
    <x v="15"/>
    <x v="2"/>
    <s v="FUR-CH-10003774"/>
    <s v="Furniture"/>
    <x v="1"/>
    <s v="Global Wood Trimmed Manager's Task Chair, Khaki"/>
    <n v="63.686"/>
    <n v="1"/>
    <n v="-15.4666"/>
    <x v="7"/>
    <x v="4"/>
  </r>
  <r>
    <s v="CA-2017-121300"/>
    <x v="560"/>
    <d v="2017-09-29T00:00:00"/>
    <x v="3"/>
    <s v="MG-17680"/>
    <s v="Maureen Gastineau"/>
    <x v="2"/>
    <s v="United States"/>
    <x v="245"/>
    <x v="15"/>
    <x v="2"/>
    <s v="FUR-TA-10004442"/>
    <s v="Furniture"/>
    <x v="2"/>
    <s v="Riverside Furniture Stanwyck Manor Table Series"/>
    <n v="344.22"/>
    <n v="2"/>
    <n v="-189.321"/>
    <x v="7"/>
    <x v="4"/>
  </r>
  <r>
    <s v="CA-2017-121300"/>
    <x v="560"/>
    <d v="2017-09-29T00:00:00"/>
    <x v="3"/>
    <s v="MG-17680"/>
    <s v="Maureen Gastineau"/>
    <x v="2"/>
    <s v="United States"/>
    <x v="245"/>
    <x v="15"/>
    <x v="2"/>
    <s v="FUR-FU-10004586"/>
    <s v="Furniture"/>
    <x v="3"/>
    <s v="G.E. Longer-Life Indoor Recessed Floodlight Bulbs"/>
    <n v="21.248000000000001"/>
    <n v="4"/>
    <n v="7.4367999999999999"/>
    <x v="7"/>
    <x v="4"/>
  </r>
  <r>
    <s v="CA-2017-130211"/>
    <x v="546"/>
    <d v="2017-10-22T00:00:00"/>
    <x v="3"/>
    <s v="BD-11620"/>
    <s v="Brian DeCherney"/>
    <x v="0"/>
    <s v="United States"/>
    <x v="246"/>
    <x v="37"/>
    <x v="3"/>
    <s v="FUR-TA-10003748"/>
    <s v="Furniture"/>
    <x v="2"/>
    <s v="Bevis 36 x 72 Conference Tables"/>
    <n v="248.98"/>
    <n v="2"/>
    <n v="54.775599999999997"/>
    <x v="7"/>
    <x v="1"/>
  </r>
  <r>
    <s v="CA-2017-105921"/>
    <x v="561"/>
    <d v="2017-08-21T00:00:00"/>
    <x v="1"/>
    <s v="JM-15250"/>
    <s v="Janet Martin"/>
    <x v="0"/>
    <s v="United States"/>
    <x v="2"/>
    <x v="2"/>
    <x v="1"/>
    <s v="FUR-TA-10001095"/>
    <s v="Furniture"/>
    <x v="2"/>
    <s v="Chromcraft Round Conference Tables"/>
    <n v="418.29599999999999"/>
    <n v="3"/>
    <n v="5.2286999999999999"/>
    <x v="1"/>
    <x v="10"/>
  </r>
  <r>
    <s v="CA-2014-150798"/>
    <x v="280"/>
    <d v="2014-12-03T00:00:00"/>
    <x v="0"/>
    <s v="JK-15730"/>
    <s v="Joe Kamberova"/>
    <x v="0"/>
    <s v="United States"/>
    <x v="29"/>
    <x v="15"/>
    <x v="2"/>
    <s v="FUR-FU-10000221"/>
    <s v="Furniture"/>
    <x v="3"/>
    <s v="Master Caster Door Stop, Brown"/>
    <n v="8.1280000000000001"/>
    <n v="2"/>
    <n v="1.4224000000000001"/>
    <x v="3"/>
    <x v="5"/>
  </r>
  <r>
    <s v="CA-2014-150798"/>
    <x v="280"/>
    <d v="2014-12-03T00:00:00"/>
    <x v="0"/>
    <s v="JK-15730"/>
    <s v="Joe Kamberova"/>
    <x v="0"/>
    <s v="United States"/>
    <x v="29"/>
    <x v="15"/>
    <x v="2"/>
    <s v="FUR-CH-10000015"/>
    <s v="Furniture"/>
    <x v="1"/>
    <s v="Hon Multipurpose Stacking Arm Chairs"/>
    <n v="909.72"/>
    <n v="6"/>
    <n v="-51.984000000000002"/>
    <x v="3"/>
    <x v="5"/>
  </r>
  <r>
    <s v="CA-2017-112753"/>
    <x v="562"/>
    <d v="2017-06-23T00:00:00"/>
    <x v="1"/>
    <s v="CC-12670"/>
    <s v="Craig Carreira"/>
    <x v="0"/>
    <s v="United States"/>
    <x v="2"/>
    <x v="2"/>
    <x v="1"/>
    <s v="FUR-BO-10004015"/>
    <s v="Furniture"/>
    <x v="0"/>
    <s v="Bush Andora Bookcase, Maple/Graphite Gray Finish"/>
    <n v="917.92349999999999"/>
    <n v="9"/>
    <n v="75.593699999999998"/>
    <x v="2"/>
    <x v="2"/>
  </r>
  <r>
    <s v="US-2014-138247"/>
    <x v="109"/>
    <d v="2014-12-29T00:00:00"/>
    <x v="1"/>
    <s v="BF-11170"/>
    <s v="Ben Ferrer"/>
    <x v="2"/>
    <s v="United States"/>
    <x v="2"/>
    <x v="2"/>
    <x v="1"/>
    <s v="FUR-FU-10002554"/>
    <s v="Furniture"/>
    <x v="3"/>
    <s v="Westinghouse Floor Lamp with Metal Mesh Shade, Black"/>
    <n v="23.99"/>
    <n v="1"/>
    <n v="5.5176999999999996"/>
    <x v="2"/>
    <x v="5"/>
  </r>
  <r>
    <s v="CA-2017-167003"/>
    <x v="563"/>
    <d v="2017-05-29T00:00:00"/>
    <x v="1"/>
    <s v="VS-21820"/>
    <s v="Vivek Sundaresam"/>
    <x v="0"/>
    <s v="United States"/>
    <x v="2"/>
    <x v="2"/>
    <x v="1"/>
    <s v="FUR-TA-10001520"/>
    <s v="Furniture"/>
    <x v="2"/>
    <s v="Lesro Sheffield Collection Coffee Table, End Table, Center Table, Corner Table"/>
    <n v="171.28800000000001"/>
    <n v="3"/>
    <n v="-6.4233000000000002"/>
    <x v="6"/>
    <x v="7"/>
  </r>
  <r>
    <s v="CA-2016-119935"/>
    <x v="480"/>
    <d v="2016-11-14T00:00:00"/>
    <x v="1"/>
    <s v="KM-16225"/>
    <s v="Kalyca Meade"/>
    <x v="1"/>
    <s v="United States"/>
    <x v="76"/>
    <x v="23"/>
    <x v="3"/>
    <s v="FUR-FU-10001085"/>
    <s v="Furniture"/>
    <x v="3"/>
    <s v="3M Polarizing Light Filter Sleeves"/>
    <n v="37.299999999999997"/>
    <n v="2"/>
    <n v="17.158000000000001"/>
    <x v="4"/>
    <x v="0"/>
  </r>
  <r>
    <s v="CA-2016-120873"/>
    <x v="78"/>
    <d v="2016-11-01T00:00:00"/>
    <x v="0"/>
    <s v="BW-11200"/>
    <s v="Ben Wallace"/>
    <x v="0"/>
    <s v="United States"/>
    <x v="247"/>
    <x v="25"/>
    <x v="0"/>
    <s v="FUR-CH-10000847"/>
    <s v="Furniture"/>
    <x v="1"/>
    <s v="Global Executive Mid-Back Manager's Chair"/>
    <n v="290.98"/>
    <n v="1"/>
    <n v="75.654799999999994"/>
    <x v="2"/>
    <x v="1"/>
  </r>
  <r>
    <s v="CA-2014-109491"/>
    <x v="564"/>
    <d v="2014-02-26T00:00:00"/>
    <x v="1"/>
    <s v="LC-16930"/>
    <s v="Linda Cazamias"/>
    <x v="1"/>
    <s v="United States"/>
    <x v="52"/>
    <x v="6"/>
    <x v="3"/>
    <s v="FUR-FU-10000221"/>
    <s v="Furniture"/>
    <x v="3"/>
    <s v="Master Caster Door Stop, Brown"/>
    <n v="20.32"/>
    <n v="4"/>
    <n v="6.9088000000000003"/>
    <x v="6"/>
    <x v="11"/>
  </r>
  <r>
    <s v="CA-2014-107454"/>
    <x v="565"/>
    <d v="2014-11-06T00:00:00"/>
    <x v="1"/>
    <s v="RD-19720"/>
    <s v="Roger Demir"/>
    <x v="0"/>
    <s v="United States"/>
    <x v="13"/>
    <x v="7"/>
    <x v="2"/>
    <s v="FUR-FU-10004018"/>
    <s v="Furniture"/>
    <x v="3"/>
    <s v="Tensor Computer Mounted Lamp"/>
    <n v="89.34"/>
    <n v="6"/>
    <n v="24.1218"/>
    <x v="4"/>
    <x v="0"/>
  </r>
  <r>
    <s v="US-2017-105046"/>
    <x v="357"/>
    <d v="2017-07-23T00:00:00"/>
    <x v="1"/>
    <s v="BE-11335"/>
    <s v="Bill Eplett"/>
    <x v="2"/>
    <s v="United States"/>
    <x v="248"/>
    <x v="7"/>
    <x v="2"/>
    <s v="FUR-FU-10004848"/>
    <s v="Furniture"/>
    <x v="3"/>
    <s v="DAX Solid Wood Frames"/>
    <n v="39.08"/>
    <n v="4"/>
    <n v="14.4596"/>
    <x v="6"/>
    <x v="3"/>
  </r>
  <r>
    <s v="CA-2016-118759"/>
    <x v="566"/>
    <d v="2016-11-17T00:00:00"/>
    <x v="2"/>
    <s v="MB-17305"/>
    <s v="Maria Bertelson"/>
    <x v="0"/>
    <s v="United States"/>
    <x v="13"/>
    <x v="7"/>
    <x v="2"/>
    <s v="FUR-CH-10002335"/>
    <s v="Furniture"/>
    <x v="1"/>
    <s v="Hon GuestStacker Chair"/>
    <n v="408.00599999999997"/>
    <n v="2"/>
    <n v="72.534400000000005"/>
    <x v="0"/>
    <x v="0"/>
  </r>
  <r>
    <s v="CA-2014-140403"/>
    <x v="567"/>
    <d v="2014-10-10T00:00:00"/>
    <x v="3"/>
    <s v="TN-21040"/>
    <s v="Tanja Norvell"/>
    <x v="2"/>
    <s v="United States"/>
    <x v="249"/>
    <x v="2"/>
    <x v="1"/>
    <s v="FUR-CH-10002774"/>
    <s v="Furniture"/>
    <x v="1"/>
    <s v="Global Deluxe Stacking Chair, Gray"/>
    <n v="122.352"/>
    <n v="3"/>
    <n v="13.7646"/>
    <x v="7"/>
    <x v="1"/>
  </r>
  <r>
    <s v="CA-2017-138464"/>
    <x v="220"/>
    <d v="2017-07-12T00:00:00"/>
    <x v="1"/>
    <s v="VF-21715"/>
    <s v="Vicky Freymann"/>
    <x v="2"/>
    <s v="United States"/>
    <x v="15"/>
    <x v="13"/>
    <x v="1"/>
    <s v="FUR-FU-10003142"/>
    <s v="Furniture"/>
    <x v="3"/>
    <s v="Master Big Foot Doorstop, Beige"/>
    <n v="15.84"/>
    <n v="3"/>
    <n v="4.9104000000000001"/>
    <x v="4"/>
    <x v="3"/>
  </r>
  <r>
    <s v="CA-2015-104129"/>
    <x v="568"/>
    <d v="2015-03-02T00:00:00"/>
    <x v="1"/>
    <s v="ES-14080"/>
    <s v="Erin Smith"/>
    <x v="1"/>
    <s v="United States"/>
    <x v="134"/>
    <x v="38"/>
    <x v="2"/>
    <s v="FUR-TA-10004152"/>
    <s v="Furniture"/>
    <x v="2"/>
    <s v="Barricks 18&quot; x 48&quot; Non-Folding Utility Table with Bottom Storage Shelf"/>
    <n v="493.92"/>
    <n v="7"/>
    <n v="-28.224"/>
    <x v="0"/>
    <x v="11"/>
  </r>
  <r>
    <s v="CA-2015-126557"/>
    <x v="569"/>
    <d v="2015-07-17T00:00:00"/>
    <x v="0"/>
    <s v="RL-19615"/>
    <s v="Rob Lucas"/>
    <x v="0"/>
    <s v="United States"/>
    <x v="9"/>
    <x v="8"/>
    <x v="3"/>
    <s v="FUR-CH-10004477"/>
    <s v="Furniture"/>
    <x v="1"/>
    <s v="Global Push Button Manager's Chair, Indigo"/>
    <n v="383.60700000000003"/>
    <n v="9"/>
    <n v="-5.4801000000000002"/>
    <x v="2"/>
    <x v="3"/>
  </r>
  <r>
    <s v="CA-2015-126557"/>
    <x v="569"/>
    <d v="2015-07-17T00:00:00"/>
    <x v="0"/>
    <s v="RL-19615"/>
    <s v="Rob Lucas"/>
    <x v="0"/>
    <s v="United States"/>
    <x v="9"/>
    <x v="8"/>
    <x v="3"/>
    <s v="FUR-FU-10001861"/>
    <s v="Furniture"/>
    <x v="3"/>
    <s v="Floodlight Indoor Halogen Bulbs, 1 Bulb per Pack, 60 Watts"/>
    <n v="7.76"/>
    <n v="1"/>
    <n v="-2.1339999999999999"/>
    <x v="2"/>
    <x v="3"/>
  </r>
  <r>
    <s v="US-2014-165862"/>
    <x v="570"/>
    <d v="2014-07-17T00:00:00"/>
    <x v="1"/>
    <s v="GK-14620"/>
    <s v="Grace Kelly"/>
    <x v="1"/>
    <s v="United States"/>
    <x v="2"/>
    <x v="2"/>
    <x v="1"/>
    <s v="FUR-TA-10002855"/>
    <s v="Furniture"/>
    <x v="2"/>
    <s v="Bevis Round Conference Table Top &amp; Single Column Base"/>
    <n v="351.21600000000001"/>
    <n v="3"/>
    <n v="4.3902000000000001"/>
    <x v="4"/>
    <x v="3"/>
  </r>
  <r>
    <s v="US-2014-106334"/>
    <x v="421"/>
    <d v="2015-01-02T00:00:00"/>
    <x v="1"/>
    <s v="JF-15490"/>
    <s v="Jeremy Farry"/>
    <x v="0"/>
    <s v="United States"/>
    <x v="28"/>
    <x v="2"/>
    <x v="1"/>
    <s v="FUR-CH-10004886"/>
    <s v="Furniture"/>
    <x v="1"/>
    <s v="Bevis Steel Folding Chairs"/>
    <n v="230.28"/>
    <n v="3"/>
    <n v="23.027999999999999"/>
    <x v="6"/>
    <x v="5"/>
  </r>
  <r>
    <s v="CA-2014-110219"/>
    <x v="571"/>
    <d v="2014-05-08T00:00:00"/>
    <x v="2"/>
    <s v="EB-13870"/>
    <s v="Emily Burns"/>
    <x v="0"/>
    <s v="United States"/>
    <x v="21"/>
    <x v="5"/>
    <x v="3"/>
    <s v="FUR-CH-10001146"/>
    <s v="Furniture"/>
    <x v="1"/>
    <s v="Global Value Mid-Back Manager's Chair, Gray"/>
    <n v="127.869"/>
    <n v="3"/>
    <n v="-9.1334999999999997"/>
    <x v="0"/>
    <x v="7"/>
  </r>
  <r>
    <s v="CA-2015-118871"/>
    <x v="463"/>
    <d v="2015-12-09T00:00:00"/>
    <x v="0"/>
    <s v="HM-14860"/>
    <s v="Harry Marie"/>
    <x v="1"/>
    <s v="United States"/>
    <x v="2"/>
    <x v="2"/>
    <x v="1"/>
    <s v="FUR-FU-10002111"/>
    <s v="Furniture"/>
    <x v="3"/>
    <s v="Master Caster Door Stop, Large Brown"/>
    <n v="36.4"/>
    <n v="5"/>
    <n v="13.832000000000001"/>
    <x v="2"/>
    <x v="5"/>
  </r>
  <r>
    <s v="CA-2017-129490"/>
    <x v="572"/>
    <d v="2017-09-30T00:00:00"/>
    <x v="1"/>
    <s v="SJ-20125"/>
    <s v="Sanjit Jacobs"/>
    <x v="2"/>
    <s v="United States"/>
    <x v="232"/>
    <x v="1"/>
    <x v="0"/>
    <s v="FUR-CH-10003298"/>
    <s v="Furniture"/>
    <x v="1"/>
    <s v="Office Star - Contemporary Task Swivel chair with Loop Arms, Charcoal"/>
    <n v="419.13600000000002"/>
    <n v="4"/>
    <n v="-57.6312"/>
    <x v="4"/>
    <x v="4"/>
  </r>
  <r>
    <s v="CA-2014-169460"/>
    <x v="573"/>
    <d v="2014-04-21T00:00:00"/>
    <x v="0"/>
    <s v="NF-18595"/>
    <s v="Nicole Fjeld"/>
    <x v="2"/>
    <s v="United States"/>
    <x v="124"/>
    <x v="2"/>
    <x v="1"/>
    <s v="FUR-FU-10004017"/>
    <s v="Furniture"/>
    <x v="3"/>
    <s v="Executive Impressions 13&quot; Chairman Wall Clock"/>
    <n v="76.14"/>
    <n v="3"/>
    <n v="26.649000000000001"/>
    <x v="3"/>
    <x v="6"/>
  </r>
  <r>
    <s v="CA-2016-139395"/>
    <x v="574"/>
    <d v="2016-12-18T00:00:00"/>
    <x v="1"/>
    <s v="MG-17650"/>
    <s v="Matthew Grinstein"/>
    <x v="2"/>
    <s v="United States"/>
    <x v="38"/>
    <x v="17"/>
    <x v="3"/>
    <s v="FUR-FU-10003724"/>
    <s v="Furniture"/>
    <x v="3"/>
    <s v="Westinghouse Clip-On Gooseneck Lamps"/>
    <n v="33.479999999999997"/>
    <n v="4"/>
    <n v="8.7048000000000005"/>
    <x v="6"/>
    <x v="5"/>
  </r>
  <r>
    <s v="CA-2016-120250"/>
    <x v="107"/>
    <d v="2016-09-22T00:00:00"/>
    <x v="2"/>
    <s v="AP-10720"/>
    <s v="Anne Pryor"/>
    <x v="2"/>
    <s v="United States"/>
    <x v="3"/>
    <x v="3"/>
    <x v="2"/>
    <s v="FUR-FU-10003424"/>
    <s v="Furniture"/>
    <x v="3"/>
    <s v="Nu-Dell Oak Frame"/>
    <n v="25.632000000000001"/>
    <n v="3"/>
    <n v="3.8448000000000002"/>
    <x v="0"/>
    <x v="4"/>
  </r>
  <r>
    <s v="US-2017-163790"/>
    <x v="575"/>
    <d v="2017-11-04T00:00:00"/>
    <x v="0"/>
    <s v="NL-18310"/>
    <s v="Nancy Lomonaco"/>
    <x v="2"/>
    <s v="United States"/>
    <x v="250"/>
    <x v="2"/>
    <x v="1"/>
    <s v="FUR-FU-10002508"/>
    <s v="Furniture"/>
    <x v="3"/>
    <s v="Document Clip Frames"/>
    <n v="25.02"/>
    <n v="3"/>
    <n v="10.5084"/>
    <x v="3"/>
    <x v="0"/>
  </r>
  <r>
    <s v="CA-2016-129868"/>
    <x v="576"/>
    <d v="2016-12-31T00:00:00"/>
    <x v="1"/>
    <s v="MC-18130"/>
    <s v="Mike Caudle"/>
    <x v="1"/>
    <s v="United States"/>
    <x v="2"/>
    <x v="2"/>
    <x v="1"/>
    <s v="FUR-CH-10003535"/>
    <s v="Furniture"/>
    <x v="1"/>
    <s v="Global Armless Task Chair, Royal Blue"/>
    <n v="146.352"/>
    <n v="3"/>
    <n v="-5.4882"/>
    <x v="2"/>
    <x v="5"/>
  </r>
  <r>
    <s v="CA-2016-129868"/>
    <x v="576"/>
    <d v="2016-12-31T00:00:00"/>
    <x v="1"/>
    <s v="MC-18130"/>
    <s v="Mike Caudle"/>
    <x v="1"/>
    <s v="United States"/>
    <x v="2"/>
    <x v="2"/>
    <x v="1"/>
    <s v="FUR-TA-10003473"/>
    <s v="Furniture"/>
    <x v="2"/>
    <s v="Bretford Rectangular Conference Table Tops"/>
    <n v="902.71199999999999"/>
    <n v="3"/>
    <n v="33.851700000000001"/>
    <x v="2"/>
    <x v="5"/>
  </r>
  <r>
    <s v="CA-2015-146948"/>
    <x v="370"/>
    <d v="2015-07-20T00:00:00"/>
    <x v="1"/>
    <s v="MG-17890"/>
    <s v="Michael Granlund"/>
    <x v="2"/>
    <s v="United States"/>
    <x v="237"/>
    <x v="32"/>
    <x v="2"/>
    <s v="FUR-CH-10004853"/>
    <s v="Furniture"/>
    <x v="1"/>
    <s v="Global Manager's Adjustable Task Chair, Storm"/>
    <n v="150.97999999999999"/>
    <n v="1"/>
    <n v="43.784199999999998"/>
    <x v="4"/>
    <x v="3"/>
  </r>
  <r>
    <s v="US-2017-141852"/>
    <x v="17"/>
    <d v="2017-11-14T00:00:00"/>
    <x v="1"/>
    <s v="JE-15745"/>
    <s v="Joel Eaton"/>
    <x v="0"/>
    <s v="United States"/>
    <x v="64"/>
    <x v="2"/>
    <x v="1"/>
    <s v="FUR-FU-10000023"/>
    <s v="Furniture"/>
    <x v="3"/>
    <s v="Eldon Wave Desk Accessories"/>
    <n v="47.12"/>
    <n v="8"/>
    <n v="20.732800000000001"/>
    <x v="2"/>
    <x v="0"/>
  </r>
  <r>
    <s v="CA-2015-117800"/>
    <x v="231"/>
    <d v="2015-09-26T00:00:00"/>
    <x v="1"/>
    <s v="TH-21550"/>
    <s v="Tracy Hopkins"/>
    <x v="2"/>
    <s v="United States"/>
    <x v="114"/>
    <x v="20"/>
    <x v="2"/>
    <s v="FUR-CH-10000785"/>
    <s v="Furniture"/>
    <x v="1"/>
    <s v="Global Ergonomic Managers Chair"/>
    <n v="542.94000000000005"/>
    <n v="3"/>
    <n v="141.1644"/>
    <x v="2"/>
    <x v="4"/>
  </r>
  <r>
    <s v="CA-2017-147228"/>
    <x v="198"/>
    <d v="2017-09-14T00:00:00"/>
    <x v="1"/>
    <s v="SO-20335"/>
    <s v="Sean O'Donnell"/>
    <x v="0"/>
    <s v="United States"/>
    <x v="11"/>
    <x v="9"/>
    <x v="0"/>
    <s v="FUR-FU-10000023"/>
    <s v="Furniture"/>
    <x v="3"/>
    <s v="Eldon Wave Desk Accessories"/>
    <n v="14.135999999999999"/>
    <n v="3"/>
    <n v="4.2408000000000001"/>
    <x v="2"/>
    <x v="4"/>
  </r>
  <r>
    <s v="US-2015-126235"/>
    <x v="233"/>
    <d v="2015-10-15T00:00:00"/>
    <x v="3"/>
    <s v="GA-14725"/>
    <s v="Guy Armstrong"/>
    <x v="0"/>
    <s v="United States"/>
    <x v="189"/>
    <x v="17"/>
    <x v="3"/>
    <s v="FUR-FU-10000719"/>
    <s v="Furniture"/>
    <x v="3"/>
    <s v="DAX Cubicle Frames, 8-1/2 x 11"/>
    <n v="17.14"/>
    <n v="2"/>
    <n v="6.1703999999999999"/>
    <x v="7"/>
    <x v="1"/>
  </r>
  <r>
    <s v="CA-2017-168396"/>
    <x v="309"/>
    <d v="2017-08-08T00:00:00"/>
    <x v="0"/>
    <s v="BD-11725"/>
    <s v="Bruce Degenhardt"/>
    <x v="0"/>
    <s v="United States"/>
    <x v="28"/>
    <x v="2"/>
    <x v="1"/>
    <s v="FUR-FU-10000723"/>
    <s v="Furniture"/>
    <x v="3"/>
    <s v="Deflect-o EconoMat Studded, No Bevel Mat for Low Pile Carpeting"/>
    <n v="123.96"/>
    <n v="3"/>
    <n v="11.1564"/>
    <x v="2"/>
    <x v="10"/>
  </r>
  <r>
    <s v="CA-2015-130456"/>
    <x v="130"/>
    <d v="2015-08-26T00:00:00"/>
    <x v="1"/>
    <s v="DS-13180"/>
    <s v="David Smith"/>
    <x v="1"/>
    <s v="United States"/>
    <x v="28"/>
    <x v="2"/>
    <x v="1"/>
    <s v="FUR-BO-10003893"/>
    <s v="Furniture"/>
    <x v="0"/>
    <s v="Sauder Camden County Collection Library"/>
    <n v="586.39800000000002"/>
    <n v="6"/>
    <n v="34.494"/>
    <x v="2"/>
    <x v="10"/>
  </r>
  <r>
    <s v="CA-2017-130141"/>
    <x v="546"/>
    <d v="2017-10-24T00:00:00"/>
    <x v="0"/>
    <s v="HA-14905"/>
    <s v="Helen Abelman"/>
    <x v="0"/>
    <s v="United States"/>
    <x v="200"/>
    <x v="12"/>
    <x v="1"/>
    <s v="FUR-CH-10000749"/>
    <s v="Furniture"/>
    <x v="1"/>
    <s v="Office Star - Ergonomic Mid Back Chair with 2-Way Adjustable Arms"/>
    <n v="579.13599999999997"/>
    <n v="4"/>
    <n v="-28.956800000000001"/>
    <x v="3"/>
    <x v="1"/>
  </r>
  <r>
    <s v="CA-2016-143910"/>
    <x v="577"/>
    <d v="2016-08-16T00:00:00"/>
    <x v="1"/>
    <s v="BC-11125"/>
    <s v="Becky Castell"/>
    <x v="2"/>
    <s v="United States"/>
    <x v="13"/>
    <x v="7"/>
    <x v="2"/>
    <s v="FUR-CH-10000225"/>
    <s v="Furniture"/>
    <x v="1"/>
    <s v="Global Geo Office Task Chair, Gray"/>
    <n v="145.76400000000001"/>
    <n v="2"/>
    <n v="-8.0980000000000008"/>
    <x v="4"/>
    <x v="10"/>
  </r>
  <r>
    <s v="CA-2016-139556"/>
    <x v="578"/>
    <d v="2016-05-01T00:00:00"/>
    <x v="1"/>
    <s v="DB-13360"/>
    <s v="Dennis Bolton"/>
    <x v="2"/>
    <s v="United States"/>
    <x v="13"/>
    <x v="7"/>
    <x v="2"/>
    <s v="FUR-CH-10004983"/>
    <s v="Furniture"/>
    <x v="1"/>
    <s v="Office Star - Mid Back Dual function Ergonomic High Back Chair with 2-Way Adjustable Arms"/>
    <n v="434.64600000000002"/>
    <n v="3"/>
    <n v="62.782200000000003"/>
    <x v="2"/>
    <x v="6"/>
  </r>
  <r>
    <s v="CA-2015-112130"/>
    <x v="496"/>
    <d v="2015-05-07T00:00:00"/>
    <x v="1"/>
    <s v="SV-20785"/>
    <s v="Stewart Visinsky"/>
    <x v="0"/>
    <s v="United States"/>
    <x v="3"/>
    <x v="3"/>
    <x v="2"/>
    <s v="FUR-CH-10002965"/>
    <s v="Furniture"/>
    <x v="1"/>
    <s v="Global Leather Highback Executive Chair with Pneumatic Height Adjustment, Black"/>
    <n v="844.11599999999999"/>
    <n v="6"/>
    <n v="-36.176400000000001"/>
    <x v="4"/>
    <x v="7"/>
  </r>
  <r>
    <s v="CA-2016-116547"/>
    <x v="579"/>
    <d v="2016-01-17T00:00:00"/>
    <x v="1"/>
    <s v="KB-16585"/>
    <s v="Ken Black"/>
    <x v="1"/>
    <s v="United States"/>
    <x v="15"/>
    <x v="13"/>
    <x v="1"/>
    <s v="FUR-FU-10000076"/>
    <s v="Furniture"/>
    <x v="3"/>
    <s v="24-Hour Round Wall Clock"/>
    <n v="79.92"/>
    <n v="4"/>
    <n v="34.365600000000001"/>
    <x v="1"/>
    <x v="8"/>
  </r>
  <r>
    <s v="US-2017-133200"/>
    <x v="580"/>
    <d v="2017-05-11T00:00:00"/>
    <x v="1"/>
    <s v="DB-13555"/>
    <s v="Dorothy Badders"/>
    <x v="1"/>
    <s v="United States"/>
    <x v="50"/>
    <x v="5"/>
    <x v="3"/>
    <s v="FUR-BO-10001601"/>
    <s v="Furniture"/>
    <x v="0"/>
    <s v="Sauder Mission Library with Doors, Fruitwood Finish"/>
    <n v="623.46479999999997"/>
    <n v="7"/>
    <n v="-119.1918"/>
    <x v="2"/>
    <x v="7"/>
  </r>
  <r>
    <s v="CA-2016-133550"/>
    <x v="581"/>
    <d v="2016-08-06T00:00:00"/>
    <x v="1"/>
    <s v="KL-16645"/>
    <s v="Ken Lonsdale"/>
    <x v="0"/>
    <s v="United States"/>
    <x v="25"/>
    <x v="17"/>
    <x v="3"/>
    <s v="FUR-FU-10002918"/>
    <s v="Furniture"/>
    <x v="3"/>
    <s v="Eldon ClusterMat Chair Mat with Cordless Antistatic Protection"/>
    <n v="272.94"/>
    <n v="3"/>
    <n v="30.023399999999999"/>
    <x v="6"/>
    <x v="3"/>
  </r>
  <r>
    <s v="CA-2017-139416"/>
    <x v="582"/>
    <d v="2017-03-29T00:00:00"/>
    <x v="0"/>
    <s v="AG-10270"/>
    <s v="Alejandro Grove"/>
    <x v="0"/>
    <s v="United States"/>
    <x v="3"/>
    <x v="3"/>
    <x v="2"/>
    <s v="FUR-FU-10003832"/>
    <s v="Furniture"/>
    <x v="3"/>
    <s v="Eldon Expressions Punched Metal &amp; Wood Desk Accessories, Black &amp; Cherry"/>
    <n v="15.007999999999999"/>
    <n v="2"/>
    <n v="1.5007999999999999"/>
    <x v="3"/>
    <x v="9"/>
  </r>
  <r>
    <s v="CA-2016-159912"/>
    <x v="583"/>
    <d v="2016-09-03T00:00:00"/>
    <x v="1"/>
    <s v="GB-14530"/>
    <s v="George Bell"/>
    <x v="1"/>
    <s v="United States"/>
    <x v="3"/>
    <x v="3"/>
    <x v="2"/>
    <s v="FUR-TA-10004152"/>
    <s v="Furniture"/>
    <x v="2"/>
    <s v="Barricks 18&quot; x 48&quot; Non-Folding Utility Table with Bottom Storage Shelf"/>
    <n v="241.92"/>
    <n v="4"/>
    <n v="-56.448"/>
    <x v="2"/>
    <x v="10"/>
  </r>
  <r>
    <s v="CA-2016-159912"/>
    <x v="583"/>
    <d v="2016-09-03T00:00:00"/>
    <x v="1"/>
    <s v="GB-14530"/>
    <s v="George Bell"/>
    <x v="1"/>
    <s v="United States"/>
    <x v="3"/>
    <x v="3"/>
    <x v="2"/>
    <s v="FUR-BO-10002853"/>
    <s v="Furniture"/>
    <x v="0"/>
    <s v="O'Sullivan 5-Shelf Heavy-Duty Bookcases"/>
    <n v="163.88"/>
    <n v="4"/>
    <n v="-81.94"/>
    <x v="2"/>
    <x v="10"/>
  </r>
  <r>
    <s v="CA-2014-138681"/>
    <x v="191"/>
    <d v="2014-12-22T00:00:00"/>
    <x v="2"/>
    <s v="CT-11995"/>
    <s v="Carol Triggs"/>
    <x v="0"/>
    <s v="United States"/>
    <x v="104"/>
    <x v="22"/>
    <x v="1"/>
    <s v="FUR-FU-10001876"/>
    <s v="Furniture"/>
    <x v="3"/>
    <s v="Computer Room Manger, 14&quot;"/>
    <n v="51.968000000000004"/>
    <n v="2"/>
    <n v="10.393599999999999"/>
    <x v="3"/>
    <x v="5"/>
  </r>
  <r>
    <s v="CA-2014-138681"/>
    <x v="191"/>
    <d v="2014-12-22T00:00:00"/>
    <x v="2"/>
    <s v="CT-11995"/>
    <s v="Carol Triggs"/>
    <x v="0"/>
    <s v="United States"/>
    <x v="104"/>
    <x v="22"/>
    <x v="1"/>
    <s v="FUR-CH-10004860"/>
    <s v="Furniture"/>
    <x v="1"/>
    <s v="Global Low Back Tilter Chair"/>
    <n v="242.352"/>
    <n v="3"/>
    <n v="-42.4116"/>
    <x v="3"/>
    <x v="5"/>
  </r>
  <r>
    <s v="US-2015-138121"/>
    <x v="584"/>
    <d v="2015-12-17T00:00:00"/>
    <x v="3"/>
    <s v="JL-15835"/>
    <s v="John Lee"/>
    <x v="0"/>
    <s v="United States"/>
    <x v="25"/>
    <x v="17"/>
    <x v="3"/>
    <s v="FUR-CH-10003846"/>
    <s v="Furniture"/>
    <x v="1"/>
    <s v="Hon Valutask Swivel Chairs"/>
    <n v="302.94"/>
    <n v="3"/>
    <n v="48.470399999999998"/>
    <x v="7"/>
    <x v="5"/>
  </r>
  <r>
    <s v="US-2015-138121"/>
    <x v="584"/>
    <d v="2015-12-17T00:00:00"/>
    <x v="3"/>
    <s v="JL-15835"/>
    <s v="John Lee"/>
    <x v="0"/>
    <s v="United States"/>
    <x v="25"/>
    <x v="17"/>
    <x v="3"/>
    <s v="FUR-CH-10004875"/>
    <s v="Furniture"/>
    <x v="1"/>
    <s v="Harbour Creations 67200 Series Stacking Chairs"/>
    <n v="142.36000000000001"/>
    <n v="2"/>
    <n v="38.437199999999997"/>
    <x v="7"/>
    <x v="5"/>
  </r>
  <r>
    <s v="US-2015-138121"/>
    <x v="584"/>
    <d v="2015-12-17T00:00:00"/>
    <x v="3"/>
    <s v="JL-15835"/>
    <s v="John Lee"/>
    <x v="0"/>
    <s v="United States"/>
    <x v="25"/>
    <x v="17"/>
    <x v="3"/>
    <s v="FUR-CH-10003817"/>
    <s v="Furniture"/>
    <x v="1"/>
    <s v="Global Value Steno Chair, Gray"/>
    <n v="546.66"/>
    <n v="9"/>
    <n v="136.66499999999999"/>
    <x v="7"/>
    <x v="5"/>
  </r>
  <r>
    <s v="US-2015-138121"/>
    <x v="584"/>
    <d v="2015-12-17T00:00:00"/>
    <x v="3"/>
    <s v="JL-15835"/>
    <s v="John Lee"/>
    <x v="0"/>
    <s v="United States"/>
    <x v="25"/>
    <x v="17"/>
    <x v="3"/>
    <s v="FUR-FU-10002116"/>
    <s v="Furniture"/>
    <x v="3"/>
    <s v="Tenex Carpeted, Granite-Look or Clear Contemporary Contour Shape Chair Mats"/>
    <n v="212.13"/>
    <n v="3"/>
    <n v="14.8491"/>
    <x v="7"/>
    <x v="5"/>
  </r>
  <r>
    <s v="CA-2017-140298"/>
    <x v="585"/>
    <d v="2017-05-17T00:00:00"/>
    <x v="1"/>
    <s v="JK-16120"/>
    <s v="Julie Kriz"/>
    <x v="2"/>
    <s v="United States"/>
    <x v="198"/>
    <x v="5"/>
    <x v="3"/>
    <s v="FUR-FU-10001967"/>
    <s v="Furniture"/>
    <x v="3"/>
    <s v="Telescoping Adjustable Floor Lamp"/>
    <n v="7.9960000000000004"/>
    <n v="1"/>
    <n v="-6.9965000000000002"/>
    <x v="6"/>
    <x v="7"/>
  </r>
  <r>
    <s v="CA-2016-158435"/>
    <x v="586"/>
    <d v="2016-05-18T00:00:00"/>
    <x v="2"/>
    <s v="AG-10900"/>
    <s v="Arthur Gainer"/>
    <x v="0"/>
    <s v="United States"/>
    <x v="251"/>
    <x v="19"/>
    <x v="2"/>
    <s v="FUR-FU-10003975"/>
    <s v="Furniture"/>
    <x v="3"/>
    <s v="Eldon Advantage Chair Mats for Low to Medium Pile Carpets"/>
    <n v="173.24"/>
    <n v="4"/>
    <n v="17.324000000000002"/>
    <x v="5"/>
    <x v="7"/>
  </r>
  <r>
    <s v="CA-2014-108273"/>
    <x v="439"/>
    <d v="2014-12-21T00:00:00"/>
    <x v="1"/>
    <s v="EJ-13720"/>
    <s v="Ed Jacobs"/>
    <x v="0"/>
    <s v="United States"/>
    <x v="156"/>
    <x v="5"/>
    <x v="3"/>
    <s v="FUR-FU-10002116"/>
    <s v="Furniture"/>
    <x v="3"/>
    <s v="Tenex Carpeted, Granite-Look or Clear Contemporary Contour Shape Chair Mats"/>
    <n v="56.567999999999998"/>
    <n v="2"/>
    <n v="-74.952600000000004"/>
    <x v="2"/>
    <x v="5"/>
  </r>
  <r>
    <s v="CA-2017-143126"/>
    <x v="587"/>
    <d v="2017-12-07T00:00:00"/>
    <x v="0"/>
    <s v="CM-12655"/>
    <s v="Corinna Mitchell"/>
    <x v="2"/>
    <s v="United States"/>
    <x v="15"/>
    <x v="13"/>
    <x v="1"/>
    <s v="FUR-TA-10002958"/>
    <s v="Furniture"/>
    <x v="2"/>
    <s v="Bevis Oval Conference Table, Walnut"/>
    <n v="521.96"/>
    <n v="2"/>
    <n v="88.733199999999997"/>
    <x v="4"/>
    <x v="5"/>
  </r>
  <r>
    <s v="CA-2014-106229"/>
    <x v="588"/>
    <d v="2014-06-11T00:00:00"/>
    <x v="0"/>
    <s v="NR-18550"/>
    <s v="Nick Radford"/>
    <x v="0"/>
    <s v="United States"/>
    <x v="14"/>
    <x v="8"/>
    <x v="3"/>
    <s v="FUR-TA-10002041"/>
    <s v="Furniture"/>
    <x v="2"/>
    <s v="Bevis Round Conference Table Top, X-Base"/>
    <n v="268.935"/>
    <n v="3"/>
    <n v="-209.76929999999999"/>
    <x v="4"/>
    <x v="2"/>
  </r>
  <r>
    <s v="CA-2014-119151"/>
    <x v="306"/>
    <d v="2014-11-29T00:00:00"/>
    <x v="0"/>
    <s v="MP-18175"/>
    <s v="Mike Pelletier"/>
    <x v="2"/>
    <s v="United States"/>
    <x v="13"/>
    <x v="7"/>
    <x v="2"/>
    <s v="FUR-BO-10003159"/>
    <s v="Furniture"/>
    <x v="0"/>
    <s v="Sauder Camden County Collection Libraries, Planked Cherry Finish"/>
    <n v="275.952"/>
    <n v="3"/>
    <n v="-37.943399999999997"/>
    <x v="4"/>
    <x v="0"/>
  </r>
  <r>
    <s v="US-2015-103996"/>
    <x v="165"/>
    <d v="2015-03-31T00:00:00"/>
    <x v="0"/>
    <s v="RB-19435"/>
    <s v="Richard Bierner"/>
    <x v="0"/>
    <s v="United States"/>
    <x v="53"/>
    <x v="2"/>
    <x v="1"/>
    <s v="FUR-FU-10004586"/>
    <s v="Furniture"/>
    <x v="3"/>
    <s v="G.E. Longer-Life Indoor Recessed Floodlight Bulbs"/>
    <n v="19.920000000000002"/>
    <n v="3"/>
    <n v="9.5616000000000003"/>
    <x v="3"/>
    <x v="9"/>
  </r>
  <r>
    <s v="CA-2016-120530"/>
    <x v="589"/>
    <d v="2016-04-12T00:00:00"/>
    <x v="1"/>
    <s v="Dl-13600"/>
    <s v="Dorris liebe"/>
    <x v="1"/>
    <s v="United States"/>
    <x v="13"/>
    <x v="7"/>
    <x v="2"/>
    <s v="FUR-CH-10000454"/>
    <s v="Furniture"/>
    <x v="1"/>
    <s v="Hon Deluxe Fabric Upholstered Stacking Chairs, Rounded Back"/>
    <n v="658.74599999999998"/>
    <n v="3"/>
    <n v="146.38800000000001"/>
    <x v="2"/>
    <x v="6"/>
  </r>
  <r>
    <s v="CA-2015-105725"/>
    <x v="590"/>
    <d v="2015-02-24T00:00:00"/>
    <x v="1"/>
    <s v="GT-14755"/>
    <s v="Guy Thornton"/>
    <x v="0"/>
    <s v="United States"/>
    <x v="62"/>
    <x v="2"/>
    <x v="1"/>
    <s v="FUR-TA-10001676"/>
    <s v="Furniture"/>
    <x v="2"/>
    <s v="Hon 61000 Series Interactive Training Tables"/>
    <n v="35.543999999999997"/>
    <n v="1"/>
    <n v="-0.88859999999999995"/>
    <x v="6"/>
    <x v="11"/>
  </r>
  <r>
    <s v="CA-2016-120005"/>
    <x v="492"/>
    <d v="2016-03-03T00:00:00"/>
    <x v="3"/>
    <s v="TS-21160"/>
    <s v="Theresa Swint"/>
    <x v="1"/>
    <s v="United States"/>
    <x v="28"/>
    <x v="2"/>
    <x v="1"/>
    <s v="FUR-FU-10000672"/>
    <s v="Furniture"/>
    <x v="3"/>
    <s v="Executive Impressions 10&quot; Spectator Wall Clock"/>
    <n v="35.28"/>
    <n v="3"/>
    <n v="11.995200000000001"/>
    <x v="7"/>
    <x v="9"/>
  </r>
  <r>
    <s v="CA-2017-103499"/>
    <x v="93"/>
    <d v="2017-11-24T00:00:00"/>
    <x v="1"/>
    <s v="ES-14020"/>
    <s v="Erica Smith"/>
    <x v="0"/>
    <s v="United States"/>
    <x v="38"/>
    <x v="9"/>
    <x v="0"/>
    <s v="FUR-CH-10001482"/>
    <s v="Furniture"/>
    <x v="1"/>
    <s v="Office Star - Mesh Screen back chair with Vinyl seat"/>
    <n v="209.56800000000001"/>
    <n v="2"/>
    <n v="-23.5764"/>
    <x v="4"/>
    <x v="0"/>
  </r>
  <r>
    <s v="CA-2017-119746"/>
    <x v="68"/>
    <d v="2017-11-27T00:00:00"/>
    <x v="1"/>
    <s v="CM-12385"/>
    <s v="Christopher Martinez"/>
    <x v="0"/>
    <s v="United States"/>
    <x v="9"/>
    <x v="8"/>
    <x v="3"/>
    <s v="FUR-FU-10004909"/>
    <s v="Furniture"/>
    <x v="3"/>
    <s v="Contemporary Wood/Metal Frame"/>
    <n v="6.4640000000000004"/>
    <n v="1"/>
    <n v="-4.04"/>
    <x v="4"/>
    <x v="0"/>
  </r>
  <r>
    <s v="CA-2014-150301"/>
    <x v="591"/>
    <d v="2014-07-10T00:00:00"/>
    <x v="2"/>
    <s v="MH-18025"/>
    <s v="Michelle Huthwaite"/>
    <x v="0"/>
    <s v="United States"/>
    <x v="252"/>
    <x v="7"/>
    <x v="2"/>
    <s v="FUR-CH-10002647"/>
    <s v="Furniture"/>
    <x v="1"/>
    <s v="Situations Contoured Folding Chairs, 4/Set"/>
    <n v="63.881999999999998"/>
    <n v="1"/>
    <n v="10.647"/>
    <x v="3"/>
    <x v="3"/>
  </r>
  <r>
    <s v="CA-2014-159310"/>
    <x v="592"/>
    <d v="2014-11-12T00:00:00"/>
    <x v="1"/>
    <s v="SC-20725"/>
    <s v="Steven Cartwright"/>
    <x v="0"/>
    <s v="United States"/>
    <x v="6"/>
    <x v="5"/>
    <x v="3"/>
    <s v="FUR-CH-10002758"/>
    <s v="Furniture"/>
    <x v="1"/>
    <s v="Hon Deluxe Fabric Upholstered Stacking Chairs, Squared Back"/>
    <n v="683.14400000000001"/>
    <n v="4"/>
    <n v="0"/>
    <x v="2"/>
    <x v="0"/>
  </r>
  <r>
    <s v="CA-2015-104346"/>
    <x v="593"/>
    <d v="2015-12-16T00:00:00"/>
    <x v="1"/>
    <s v="IM-15070"/>
    <s v="Irene Maddox"/>
    <x v="0"/>
    <s v="United States"/>
    <x v="30"/>
    <x v="12"/>
    <x v="1"/>
    <s v="FUR-BO-10003450"/>
    <s v="Furniture"/>
    <x v="0"/>
    <s v="Bush Westfield Collection Bookcases, Dark Cherry Finish"/>
    <n v="69.575999999999993"/>
    <n v="4"/>
    <n v="-143.79040000000001"/>
    <x v="2"/>
    <x v="5"/>
  </r>
  <r>
    <s v="CA-2015-104346"/>
    <x v="593"/>
    <d v="2015-12-16T00:00:00"/>
    <x v="1"/>
    <s v="IM-15070"/>
    <s v="Irene Maddox"/>
    <x v="0"/>
    <s v="United States"/>
    <x v="30"/>
    <x v="12"/>
    <x v="1"/>
    <s v="FUR-FU-10002456"/>
    <s v="Furniture"/>
    <x v="3"/>
    <s v="Master Caster Door Stop, Large Neon Orange"/>
    <n v="52.415999999999997"/>
    <n v="9"/>
    <n v="15.069599999999999"/>
    <x v="2"/>
    <x v="5"/>
  </r>
  <r>
    <s v="CA-2015-104346"/>
    <x v="593"/>
    <d v="2015-12-16T00:00:00"/>
    <x v="1"/>
    <s v="IM-15070"/>
    <s v="Irene Maddox"/>
    <x v="0"/>
    <s v="United States"/>
    <x v="30"/>
    <x v="12"/>
    <x v="1"/>
    <s v="FUR-FU-10001473"/>
    <s v="Furniture"/>
    <x v="3"/>
    <s v="DAX Wood Document Frame"/>
    <n v="54.92"/>
    <n v="5"/>
    <n v="10.984"/>
    <x v="2"/>
    <x v="5"/>
  </r>
  <r>
    <s v="CA-2015-104346"/>
    <x v="593"/>
    <d v="2015-12-16T00:00:00"/>
    <x v="1"/>
    <s v="IM-15070"/>
    <s v="Irene Maddox"/>
    <x v="0"/>
    <s v="United States"/>
    <x v="30"/>
    <x v="12"/>
    <x v="1"/>
    <s v="FUR-TA-10000849"/>
    <s v="Furniture"/>
    <x v="2"/>
    <s v="Bevis Rectangular Conference Tables"/>
    <n v="364.95"/>
    <n v="5"/>
    <n v="-248.166"/>
    <x v="2"/>
    <x v="5"/>
  </r>
  <r>
    <s v="CA-2015-144722"/>
    <x v="253"/>
    <d v="2015-03-23T00:00:00"/>
    <x v="1"/>
    <s v="MF-18250"/>
    <s v="Monica Federle"/>
    <x v="1"/>
    <s v="United States"/>
    <x v="2"/>
    <x v="2"/>
    <x v="1"/>
    <s v="FUR-FU-10001215"/>
    <s v="Furniture"/>
    <x v="3"/>
    <s v="Howard Miller 11-1/2&quot; Diameter Brentwood Wall Clock"/>
    <n v="43.13"/>
    <n v="1"/>
    <n v="18.114599999999999"/>
    <x v="1"/>
    <x v="9"/>
  </r>
  <r>
    <s v="US-2016-148901"/>
    <x v="326"/>
    <d v="2016-05-19T00:00:00"/>
    <x v="1"/>
    <s v="MK-17905"/>
    <s v="Michael Kennedy"/>
    <x v="1"/>
    <s v="United States"/>
    <x v="51"/>
    <x v="1"/>
    <x v="0"/>
    <s v="FUR-FU-10002396"/>
    <s v="Furniture"/>
    <x v="3"/>
    <s v="DAX Copper Panel Document Frame, 5 x 7 Size"/>
    <n v="30.192"/>
    <n v="3"/>
    <n v="8.3027999999999995"/>
    <x v="2"/>
    <x v="7"/>
  </r>
  <r>
    <s v="CA-2017-136364"/>
    <x v="594"/>
    <d v="2017-07-17T00:00:00"/>
    <x v="0"/>
    <s v="MH-17455"/>
    <s v="Mark Hamilton"/>
    <x v="0"/>
    <s v="United States"/>
    <x v="3"/>
    <x v="3"/>
    <x v="2"/>
    <s v="FUR-FU-10002501"/>
    <s v="Furniture"/>
    <x v="3"/>
    <s v="Nu-Dell Executive Frame"/>
    <n v="91.007999999999996"/>
    <n v="9"/>
    <n v="19.339200000000002"/>
    <x v="4"/>
    <x v="3"/>
  </r>
  <r>
    <s v="CA-2016-121370"/>
    <x v="566"/>
    <d v="2016-11-19T00:00:00"/>
    <x v="0"/>
    <s v="EB-14110"/>
    <s v="Eugene Barchas"/>
    <x v="0"/>
    <s v="United States"/>
    <x v="3"/>
    <x v="3"/>
    <x v="2"/>
    <s v="FUR-CH-10000785"/>
    <s v="Furniture"/>
    <x v="1"/>
    <s v="Global Ergonomic Managers Chair"/>
    <n v="380.05799999999999"/>
    <n v="3"/>
    <n v="-21.717600000000001"/>
    <x v="2"/>
    <x v="0"/>
  </r>
  <r>
    <s v="CA-2016-121370"/>
    <x v="566"/>
    <d v="2016-11-19T00:00:00"/>
    <x v="0"/>
    <s v="EB-14110"/>
    <s v="Eugene Barchas"/>
    <x v="0"/>
    <s v="United States"/>
    <x v="3"/>
    <x v="3"/>
    <x v="2"/>
    <s v="FUR-FU-10002813"/>
    <s v="Furniture"/>
    <x v="3"/>
    <s v="DAX Contemporary Wood Frame with Silver Metal Mat, Desktop, 11 x 14 Size"/>
    <n v="48.576000000000001"/>
    <n v="3"/>
    <n v="9.7151999999999994"/>
    <x v="2"/>
    <x v="0"/>
  </r>
  <r>
    <s v="CA-2016-140018"/>
    <x v="431"/>
    <d v="2016-11-26T00:00:00"/>
    <x v="1"/>
    <s v="CK-12205"/>
    <s v="Chloris Kastensmidt"/>
    <x v="0"/>
    <s v="United States"/>
    <x v="29"/>
    <x v="15"/>
    <x v="2"/>
    <s v="FUR-CH-10003817"/>
    <s v="Furniture"/>
    <x v="1"/>
    <s v="Global Value Steno Chair, Gray"/>
    <n v="127.554"/>
    <n v="3"/>
    <n v="-9.1110000000000007"/>
    <x v="2"/>
    <x v="0"/>
  </r>
  <r>
    <s v="CA-2016-140018"/>
    <x v="431"/>
    <d v="2016-11-26T00:00:00"/>
    <x v="1"/>
    <s v="CK-12205"/>
    <s v="Chloris Kastensmidt"/>
    <x v="0"/>
    <s v="United States"/>
    <x v="29"/>
    <x v="15"/>
    <x v="2"/>
    <s v="FUR-FU-10001876"/>
    <s v="Furniture"/>
    <x v="3"/>
    <s v="Computer Room Manger, 14&quot;"/>
    <n v="77.951999999999998"/>
    <n v="3"/>
    <n v="15.590400000000001"/>
    <x v="2"/>
    <x v="0"/>
  </r>
  <r>
    <s v="CA-2017-154123"/>
    <x v="93"/>
    <d v="2017-11-25T00:00:00"/>
    <x v="1"/>
    <s v="SC-20050"/>
    <s v="Sample Company A"/>
    <x v="2"/>
    <s v="United States"/>
    <x v="0"/>
    <x v="0"/>
    <x v="0"/>
    <s v="FUR-FU-10000629"/>
    <s v="Furniture"/>
    <x v="3"/>
    <s v="9-3/4 Diameter Round Wall Clock"/>
    <n v="27.58"/>
    <n v="2"/>
    <n v="11.583600000000001"/>
    <x v="2"/>
    <x v="0"/>
  </r>
  <r>
    <s v="CA-2014-107818"/>
    <x v="30"/>
    <d v="2014-09-14T00:00:00"/>
    <x v="1"/>
    <s v="MC-17275"/>
    <s v="Marc Crier"/>
    <x v="0"/>
    <s v="United States"/>
    <x v="253"/>
    <x v="13"/>
    <x v="1"/>
    <s v="FUR-CH-10000454"/>
    <s v="Furniture"/>
    <x v="1"/>
    <s v="Hon Deluxe Fabric Upholstered Stacking Chairs, Rounded Back"/>
    <n v="975.92"/>
    <n v="5"/>
    <n v="121.99"/>
    <x v="6"/>
    <x v="4"/>
  </r>
  <r>
    <s v="CA-2014-113320"/>
    <x v="202"/>
    <d v="2014-12-15T00:00:00"/>
    <x v="0"/>
    <s v="LH-17155"/>
    <s v="Logan Haushalter"/>
    <x v="0"/>
    <s v="United States"/>
    <x v="121"/>
    <x v="2"/>
    <x v="1"/>
    <s v="FUR-FU-10004270"/>
    <s v="Furniture"/>
    <x v="3"/>
    <s v="Eldon Image Series Desk Accessories, Burgundy"/>
    <n v="12.54"/>
    <n v="3"/>
    <n v="4.5144000000000002"/>
    <x v="0"/>
    <x v="5"/>
  </r>
  <r>
    <s v="CA-2014-113320"/>
    <x v="202"/>
    <d v="2014-12-15T00:00:00"/>
    <x v="0"/>
    <s v="LH-17155"/>
    <s v="Logan Haushalter"/>
    <x v="0"/>
    <s v="United States"/>
    <x v="121"/>
    <x v="2"/>
    <x v="1"/>
    <s v="FUR-FU-10001706"/>
    <s v="Furniture"/>
    <x v="3"/>
    <s v="Longer-Life Soft White Bulbs"/>
    <n v="9.24"/>
    <n v="3"/>
    <n v="4.4352"/>
    <x v="0"/>
    <x v="5"/>
  </r>
  <r>
    <s v="CA-2015-137526"/>
    <x v="595"/>
    <d v="2015-01-17T00:00:00"/>
    <x v="1"/>
    <s v="PB-19150"/>
    <s v="Philip Brown"/>
    <x v="0"/>
    <s v="United States"/>
    <x v="2"/>
    <x v="2"/>
    <x v="1"/>
    <s v="FUR-FU-10001861"/>
    <s v="Furniture"/>
    <x v="3"/>
    <s v="Floodlight Indoor Halogen Bulbs, 1 Bulb per Pack, 60 Watts"/>
    <n v="77.599999999999994"/>
    <n v="4"/>
    <n v="38.024000000000001"/>
    <x v="4"/>
    <x v="8"/>
  </r>
  <r>
    <s v="CA-2015-137526"/>
    <x v="595"/>
    <d v="2015-01-17T00:00:00"/>
    <x v="1"/>
    <s v="PB-19150"/>
    <s v="Philip Brown"/>
    <x v="0"/>
    <s v="United States"/>
    <x v="2"/>
    <x v="2"/>
    <x v="1"/>
    <s v="FUR-FU-10004845"/>
    <s v="Furniture"/>
    <x v="3"/>
    <s v="Deflect-o EconoMat Nonstudded, No Bevel Mat"/>
    <n v="464.85"/>
    <n v="9"/>
    <n v="92.97"/>
    <x v="4"/>
    <x v="8"/>
  </r>
  <r>
    <s v="CA-2017-122490"/>
    <x v="596"/>
    <d v="2017-11-18T00:00:00"/>
    <x v="1"/>
    <s v="TT-21070"/>
    <s v="Ted Trevino"/>
    <x v="0"/>
    <s v="United States"/>
    <x v="15"/>
    <x v="13"/>
    <x v="1"/>
    <s v="FUR-CH-10001215"/>
    <s v="Furniture"/>
    <x v="1"/>
    <s v="Global Troy Executive Leather Low-Back Tilter"/>
    <n v="2404.7040000000002"/>
    <n v="6"/>
    <n v="150.29400000000001"/>
    <x v="2"/>
    <x v="0"/>
  </r>
  <r>
    <s v="CA-2017-143567"/>
    <x v="575"/>
    <d v="2017-11-05T00:00:00"/>
    <x v="0"/>
    <s v="TB-21175"/>
    <s v="Thomas Boland"/>
    <x v="1"/>
    <s v="United States"/>
    <x v="0"/>
    <x v="0"/>
    <x v="0"/>
    <s v="FUR-CH-10000454"/>
    <s v="Furniture"/>
    <x v="1"/>
    <s v="Hon Deluxe Fabric Upholstered Stacking Chairs, Rounded Back"/>
    <n v="975.92"/>
    <n v="4"/>
    <n v="292.77600000000001"/>
    <x v="0"/>
    <x v="0"/>
  </r>
  <r>
    <s v="CA-2016-163167"/>
    <x v="597"/>
    <d v="2016-12-01T00:00:00"/>
    <x v="0"/>
    <s v="RF-19345"/>
    <s v="Randy Ferguson"/>
    <x v="1"/>
    <s v="United States"/>
    <x v="254"/>
    <x v="24"/>
    <x v="0"/>
    <s v="FUR-CH-10004477"/>
    <s v="Furniture"/>
    <x v="1"/>
    <s v="Global Push Button Manager's Chair, Indigo"/>
    <n v="182.67"/>
    <n v="3"/>
    <n v="52.974299999999999"/>
    <x v="0"/>
    <x v="0"/>
  </r>
  <r>
    <s v="US-2014-122021"/>
    <x v="384"/>
    <d v="2014-10-17T00:00:00"/>
    <x v="2"/>
    <s v="AC-10660"/>
    <s v="Anna Chung"/>
    <x v="0"/>
    <s v="United States"/>
    <x v="255"/>
    <x v="15"/>
    <x v="2"/>
    <s v="FUR-CH-10003761"/>
    <s v="Furniture"/>
    <x v="1"/>
    <s v="Global Italian Leather Office Chair"/>
    <n v="183.37200000000001"/>
    <n v="2"/>
    <n v="-7.8587999999999996"/>
    <x v="3"/>
    <x v="1"/>
  </r>
  <r>
    <s v="US-2014-161613"/>
    <x v="280"/>
    <d v="2014-12-03T00:00:00"/>
    <x v="0"/>
    <s v="MC-17605"/>
    <s v="Matt Connell"/>
    <x v="1"/>
    <s v="United States"/>
    <x v="6"/>
    <x v="5"/>
    <x v="3"/>
    <s v="FUR-CH-10003746"/>
    <s v="Furniture"/>
    <x v="1"/>
    <s v="Hon 4070 Series Pagoda Round Back Stacking Chairs"/>
    <n v="674.05799999999999"/>
    <n v="3"/>
    <n v="-19.258800000000001"/>
    <x v="3"/>
    <x v="5"/>
  </r>
  <r>
    <s v="CA-2017-163125"/>
    <x v="224"/>
    <d v="2017-10-11T00:00:00"/>
    <x v="0"/>
    <s v="MB-17305"/>
    <s v="Maria Bertelson"/>
    <x v="0"/>
    <s v="United States"/>
    <x v="256"/>
    <x v="5"/>
    <x v="3"/>
    <s v="FUR-CH-10001802"/>
    <s v="Furniture"/>
    <x v="1"/>
    <s v="Hon Every-Day Chair Series Swivel Task Chairs"/>
    <n v="254.05799999999999"/>
    <n v="3"/>
    <n v="-32.6646"/>
    <x v="3"/>
    <x v="1"/>
  </r>
  <r>
    <s v="CA-2016-160304"/>
    <x v="598"/>
    <d v="2016-01-07T00:00:00"/>
    <x v="1"/>
    <s v="BM-11575"/>
    <s v="Brendan Murry"/>
    <x v="1"/>
    <s v="United States"/>
    <x v="257"/>
    <x v="32"/>
    <x v="2"/>
    <s v="FUR-BO-10004709"/>
    <s v="Furniture"/>
    <x v="0"/>
    <s v="Bush Westfield Collection Bookcases, Medium Cherry Finish"/>
    <n v="173.94"/>
    <n v="3"/>
    <n v="38.266800000000003"/>
    <x v="2"/>
    <x v="8"/>
  </r>
  <r>
    <s v="CA-2017-117653"/>
    <x v="66"/>
    <d v="2017-10-23T00:00:00"/>
    <x v="1"/>
    <s v="MO-17500"/>
    <s v="Mary O'Rourke"/>
    <x v="0"/>
    <s v="United States"/>
    <x v="9"/>
    <x v="8"/>
    <x v="3"/>
    <s v="FUR-TA-10003008"/>
    <s v="Furniture"/>
    <x v="2"/>
    <s v="Lesro Round Back Collection Coffee Table, End Table"/>
    <n v="91.275000000000006"/>
    <n v="1"/>
    <n v="-67.543499999999995"/>
    <x v="4"/>
    <x v="1"/>
  </r>
  <r>
    <s v="CA-2017-143245"/>
    <x v="451"/>
    <d v="2017-12-06T00:00:00"/>
    <x v="1"/>
    <s v="AD-10180"/>
    <s v="Alan Dominguez"/>
    <x v="2"/>
    <s v="United States"/>
    <x v="130"/>
    <x v="19"/>
    <x v="2"/>
    <s v="FUR-CH-10000155"/>
    <s v="Furniture"/>
    <x v="1"/>
    <s v="Global Comet Stacking Armless Chair"/>
    <n v="897.15"/>
    <n v="3"/>
    <n v="251.202"/>
    <x v="2"/>
    <x v="5"/>
  </r>
  <r>
    <s v="CA-2014-157147"/>
    <x v="424"/>
    <d v="2014-01-18T00:00:00"/>
    <x v="1"/>
    <s v="BD-11605"/>
    <s v="Brian Dahlen"/>
    <x v="0"/>
    <s v="United States"/>
    <x v="28"/>
    <x v="2"/>
    <x v="1"/>
    <s v="FUR-BO-10003034"/>
    <s v="Furniture"/>
    <x v="0"/>
    <s v="O'Sullivan Elevations Bookcase, Cherry Finish"/>
    <n v="333.99900000000002"/>
    <n v="3"/>
    <n v="3.9293999999999998"/>
    <x v="2"/>
    <x v="8"/>
  </r>
  <r>
    <s v="CA-2015-156482"/>
    <x v="599"/>
    <d v="2015-02-13T00:00:00"/>
    <x v="1"/>
    <s v="IL-15100"/>
    <s v="Ivan Liston"/>
    <x v="0"/>
    <s v="United States"/>
    <x v="16"/>
    <x v="14"/>
    <x v="2"/>
    <s v="FUR-CH-10001708"/>
    <s v="Furniture"/>
    <x v="1"/>
    <s v="Office Star - Contemporary Swivel Chair with Padded Adjustable Arms and Flex Back"/>
    <n v="1268.82"/>
    <n v="9"/>
    <n v="266.4522"/>
    <x v="1"/>
    <x v="11"/>
  </r>
  <r>
    <s v="CA-2015-156482"/>
    <x v="599"/>
    <d v="2015-02-13T00:00:00"/>
    <x v="1"/>
    <s v="IL-15100"/>
    <s v="Ivan Liston"/>
    <x v="0"/>
    <s v="United States"/>
    <x v="16"/>
    <x v="14"/>
    <x v="2"/>
    <s v="FUR-BO-10002598"/>
    <s v="Furniture"/>
    <x v="0"/>
    <s v="Hon Metal Bookcases, Putty"/>
    <n v="283.92"/>
    <n v="4"/>
    <n v="82.336799999999997"/>
    <x v="1"/>
    <x v="11"/>
  </r>
  <r>
    <s v="CA-2017-107125"/>
    <x v="152"/>
    <d v="2017-12-02T00:00:00"/>
    <x v="1"/>
    <s v="BD-11320"/>
    <s v="Bill Donatelli"/>
    <x v="0"/>
    <s v="United States"/>
    <x v="2"/>
    <x v="2"/>
    <x v="1"/>
    <s v="FUR-FU-10000732"/>
    <s v="Furniture"/>
    <x v="3"/>
    <s v="Eldon 200 Class Desk Accessories"/>
    <n v="18.84"/>
    <n v="3"/>
    <n v="6.0288000000000004"/>
    <x v="2"/>
    <x v="0"/>
  </r>
  <r>
    <s v="CA-2014-160262"/>
    <x v="2"/>
    <d v="2014-06-13T00:00:00"/>
    <x v="0"/>
    <s v="TS-21205"/>
    <s v="Thomas Seio"/>
    <x v="1"/>
    <s v="United States"/>
    <x v="111"/>
    <x v="34"/>
    <x v="1"/>
    <s v="FUR-FU-10002685"/>
    <s v="Furniture"/>
    <x v="3"/>
    <s v="Executive Impressions 13-1/2&quot; Indoor/Outdoor Wall Clock"/>
    <n v="37.4"/>
    <n v="2"/>
    <n v="14.212"/>
    <x v="4"/>
    <x v="2"/>
  </r>
  <r>
    <s v="CA-2014-156587"/>
    <x v="600"/>
    <d v="2014-03-08T00:00:00"/>
    <x v="2"/>
    <s v="AB-10015"/>
    <s v="Aaron Bergman"/>
    <x v="0"/>
    <s v="United States"/>
    <x v="15"/>
    <x v="13"/>
    <x v="1"/>
    <s v="FUR-CH-10004477"/>
    <s v="Furniture"/>
    <x v="1"/>
    <s v="Global Push Button Manager's Chair, Indigo"/>
    <n v="48.712000000000003"/>
    <n v="1"/>
    <n v="5.4801000000000002"/>
    <x v="5"/>
    <x v="9"/>
  </r>
  <r>
    <s v="CA-2015-122406"/>
    <x v="601"/>
    <d v="2015-08-05T00:00:00"/>
    <x v="0"/>
    <s v="BE-11455"/>
    <s v="Brad Eason"/>
    <x v="2"/>
    <s v="United States"/>
    <x v="134"/>
    <x v="38"/>
    <x v="2"/>
    <s v="FUR-CH-10001973"/>
    <s v="Furniture"/>
    <x v="1"/>
    <s v="Office Star Flex Back Scooter Chair with White Frame"/>
    <n v="110.98"/>
    <n v="1"/>
    <n v="15.5372"/>
    <x v="0"/>
    <x v="10"/>
  </r>
  <r>
    <s v="US-2016-153815"/>
    <x v="24"/>
    <d v="2016-11-09T00:00:00"/>
    <x v="2"/>
    <s v="KL-16555"/>
    <s v="Kelly Lampkin"/>
    <x v="1"/>
    <s v="United States"/>
    <x v="51"/>
    <x v="1"/>
    <x v="0"/>
    <s v="FUR-CH-10000513"/>
    <s v="Furniture"/>
    <x v="1"/>
    <s v="High-Back Leather Manager's Chair"/>
    <n v="207.98400000000001"/>
    <n v="2"/>
    <n v="-28.597799999999999"/>
    <x v="0"/>
    <x v="0"/>
  </r>
  <r>
    <s v="US-2016-153815"/>
    <x v="24"/>
    <d v="2016-11-09T00:00:00"/>
    <x v="2"/>
    <s v="KL-16555"/>
    <s v="Kelly Lampkin"/>
    <x v="1"/>
    <s v="United States"/>
    <x v="51"/>
    <x v="1"/>
    <x v="0"/>
    <s v="FUR-FU-10004090"/>
    <s v="Furniture"/>
    <x v="3"/>
    <s v="Executive Impressions 14&quot; Contract Wall Clock"/>
    <n v="35.567999999999998"/>
    <n v="2"/>
    <n v="5.7797999999999998"/>
    <x v="0"/>
    <x v="0"/>
  </r>
  <r>
    <s v="CA-2016-149279"/>
    <x v="602"/>
    <d v="2016-04-28T00:00:00"/>
    <x v="1"/>
    <s v="CL-12700"/>
    <s v="Craig Leslie"/>
    <x v="2"/>
    <s v="United States"/>
    <x v="30"/>
    <x v="12"/>
    <x v="1"/>
    <s v="FUR-CH-10004287"/>
    <s v="Furniture"/>
    <x v="1"/>
    <s v="SAFCO Arco Folding Chair"/>
    <n v="1325.76"/>
    <n v="6"/>
    <n v="149.148"/>
    <x v="4"/>
    <x v="6"/>
  </r>
  <r>
    <s v="CA-2015-153038"/>
    <x v="603"/>
    <d v="2015-12-25T00:00:00"/>
    <x v="1"/>
    <s v="RB-19645"/>
    <s v="Robert Barroso"/>
    <x v="1"/>
    <s v="United States"/>
    <x v="10"/>
    <x v="9"/>
    <x v="0"/>
    <s v="FUR-FU-10000221"/>
    <s v="Furniture"/>
    <x v="3"/>
    <s v="Master Caster Door Stop, Brown"/>
    <n v="20.32"/>
    <n v="5"/>
    <n v="3.556"/>
    <x v="1"/>
    <x v="5"/>
  </r>
  <r>
    <s v="US-2017-139647"/>
    <x v="585"/>
    <d v="2017-05-13T00:00:00"/>
    <x v="2"/>
    <s v="TS-21370"/>
    <s v="Todd Sumrall"/>
    <x v="1"/>
    <s v="United States"/>
    <x v="43"/>
    <x v="22"/>
    <x v="1"/>
    <s v="FUR-BO-10004467"/>
    <s v="Furniture"/>
    <x v="0"/>
    <s v="Bestar Classic Bookcase"/>
    <n v="209.97900000000001"/>
    <n v="7"/>
    <n v="-356.96429999999998"/>
    <x v="3"/>
    <x v="7"/>
  </r>
  <r>
    <s v="CA-2014-153850"/>
    <x v="168"/>
    <d v="2014-11-29T00:00:00"/>
    <x v="1"/>
    <s v="TH-21100"/>
    <s v="Thea Hendricks"/>
    <x v="0"/>
    <s v="United States"/>
    <x v="219"/>
    <x v="15"/>
    <x v="2"/>
    <s v="FUR-FU-10002960"/>
    <s v="Furniture"/>
    <x v="3"/>
    <s v="Eldon 200 Class Desk Accessories, Burgundy"/>
    <n v="35.167999999999999"/>
    <n v="7"/>
    <n v="9.6712000000000007"/>
    <x v="2"/>
    <x v="0"/>
  </r>
  <r>
    <s v="CA-2014-127558"/>
    <x v="604"/>
    <d v="2014-11-18T00:00:00"/>
    <x v="2"/>
    <s v="SS-20410"/>
    <s v="Shahid Shariari"/>
    <x v="0"/>
    <s v="United States"/>
    <x v="2"/>
    <x v="2"/>
    <x v="1"/>
    <s v="FUR-FU-10002505"/>
    <s v="Furniture"/>
    <x v="3"/>
    <s v="Eldon 100 Class Desk Accessories"/>
    <n v="10.11"/>
    <n v="3"/>
    <n v="3.2351999999999999"/>
    <x v="0"/>
    <x v="0"/>
  </r>
  <r>
    <s v="CA-2016-133795"/>
    <x v="105"/>
    <d v="2016-12-24T00:00:00"/>
    <x v="1"/>
    <s v="JE-15475"/>
    <s v="Jeremy Ellison"/>
    <x v="0"/>
    <s v="United States"/>
    <x v="53"/>
    <x v="2"/>
    <x v="1"/>
    <s v="FUR-FU-10003731"/>
    <s v="Furniture"/>
    <x v="3"/>
    <s v="Eldon Expressions Wood and Plastic Desk Accessories, Oak"/>
    <n v="39.92"/>
    <n v="4"/>
    <n v="11.1776"/>
    <x v="6"/>
    <x v="5"/>
  </r>
  <r>
    <s v="US-2017-130953"/>
    <x v="605"/>
    <d v="2017-08-03T00:00:00"/>
    <x v="1"/>
    <s v="RF-19735"/>
    <s v="Roland Fjeld"/>
    <x v="0"/>
    <s v="United States"/>
    <x v="258"/>
    <x v="37"/>
    <x v="3"/>
    <s v="FUR-CH-10004626"/>
    <s v="Furniture"/>
    <x v="1"/>
    <s v="Office Star Flex Back Scooter Chair with Aluminum Finish Frame"/>
    <n v="302.67"/>
    <n v="3"/>
    <n v="72.640799999999999"/>
    <x v="2"/>
    <x v="3"/>
  </r>
  <r>
    <s v="CA-2016-155166"/>
    <x v="576"/>
    <d v="2017-01-02T00:00:00"/>
    <x v="1"/>
    <s v="BB-11545"/>
    <s v="Brenda Bowman"/>
    <x v="1"/>
    <s v="United States"/>
    <x v="109"/>
    <x v="18"/>
    <x v="2"/>
    <s v="FUR-CH-10003968"/>
    <s v="Furniture"/>
    <x v="1"/>
    <s v="Novimex Turbo Task Chair"/>
    <n v="212.94"/>
    <n v="3"/>
    <n v="25.552800000000001"/>
    <x v="1"/>
    <x v="5"/>
  </r>
  <r>
    <s v="CA-2015-103954"/>
    <x v="38"/>
    <d v="2015-08-13T00:00:00"/>
    <x v="0"/>
    <s v="HR-14770"/>
    <s v="Hallie Redmond"/>
    <x v="2"/>
    <s v="United States"/>
    <x v="79"/>
    <x v="16"/>
    <x v="3"/>
    <s v="FUR-BO-10004690"/>
    <s v="Furniture"/>
    <x v="0"/>
    <s v="O'Sullivan Cherrywood Estates Traditional Barrister Bookcase"/>
    <n v="687.4"/>
    <n v="5"/>
    <n v="48.118000000000002"/>
    <x v="4"/>
    <x v="10"/>
  </r>
  <r>
    <s v="CA-2014-169803"/>
    <x v="226"/>
    <d v="2014-04-12T00:00:00"/>
    <x v="1"/>
    <s v="SC-20260"/>
    <s v="Scott Cohen"/>
    <x v="1"/>
    <s v="United States"/>
    <x v="15"/>
    <x v="13"/>
    <x v="1"/>
    <s v="FUR-TA-10000688"/>
    <s v="Furniture"/>
    <x v="2"/>
    <s v="Chromcraft Bull-Nose Wood Round Conference Table Top, Wood Base"/>
    <n v="653.54999999999995"/>
    <n v="3"/>
    <n v="111.1035"/>
    <x v="6"/>
    <x v="6"/>
  </r>
  <r>
    <s v="CA-2015-136469"/>
    <x v="312"/>
    <d v="2015-07-12T00:00:00"/>
    <x v="2"/>
    <s v="TS-21370"/>
    <s v="Todd Sumrall"/>
    <x v="1"/>
    <s v="United States"/>
    <x v="16"/>
    <x v="14"/>
    <x v="2"/>
    <s v="FUR-TA-10001520"/>
    <s v="Furniture"/>
    <x v="2"/>
    <s v="Lesro Sheffield Collection Coffee Table, End Table, Center Table, Corner Table"/>
    <n v="199.83600000000001"/>
    <n v="4"/>
    <n v="-37.112400000000001"/>
    <x v="5"/>
    <x v="3"/>
  </r>
  <r>
    <s v="CA-2016-158694"/>
    <x v="480"/>
    <d v="2016-11-13T00:00:00"/>
    <x v="0"/>
    <s v="AI-10855"/>
    <s v="Arianne Irving"/>
    <x v="0"/>
    <s v="United States"/>
    <x v="2"/>
    <x v="2"/>
    <x v="1"/>
    <s v="FUR-FU-10000965"/>
    <s v="Furniture"/>
    <x v="3"/>
    <s v="Howard Miller 11-1/2&quot; Diameter Ridgewood Wall Clock"/>
    <n v="467.46"/>
    <n v="9"/>
    <n v="191.65860000000001"/>
    <x v="0"/>
    <x v="0"/>
  </r>
  <r>
    <s v="CA-2015-141243"/>
    <x v="606"/>
    <d v="2015-01-08T00:00:00"/>
    <x v="0"/>
    <s v="AH-10465"/>
    <s v="Amy Hunt"/>
    <x v="0"/>
    <s v="United States"/>
    <x v="144"/>
    <x v="5"/>
    <x v="3"/>
    <s v="FUR-BO-10003272"/>
    <s v="Furniture"/>
    <x v="0"/>
    <s v="O'Sullivan Living Dimensions 5-Shelf Bookcases"/>
    <n v="1352.3976"/>
    <n v="9"/>
    <n v="-437.54039999999998"/>
    <x v="2"/>
    <x v="8"/>
  </r>
  <r>
    <s v="CA-2015-136798"/>
    <x v="190"/>
    <d v="2015-05-12T00:00:00"/>
    <x v="1"/>
    <s v="DL-12925"/>
    <s v="Daniel Lacy"/>
    <x v="0"/>
    <s v="United States"/>
    <x v="12"/>
    <x v="11"/>
    <x v="3"/>
    <s v="FUR-FU-10000723"/>
    <s v="Furniture"/>
    <x v="3"/>
    <s v="Deflect-o EconoMat Studded, No Bevel Mat for Low Pile Carpeting"/>
    <n v="123.96"/>
    <n v="3"/>
    <n v="11.1564"/>
    <x v="4"/>
    <x v="7"/>
  </r>
  <r>
    <s v="CA-2017-142090"/>
    <x v="147"/>
    <d v="2017-12-07T00:00:00"/>
    <x v="1"/>
    <s v="SC-20380"/>
    <s v="Shahid Collister"/>
    <x v="0"/>
    <s v="United States"/>
    <x v="259"/>
    <x v="30"/>
    <x v="0"/>
    <s v="FUR-TA-10001889"/>
    <s v="Furniture"/>
    <x v="2"/>
    <s v="Bush Advantage Collection Racetrack Conference Table"/>
    <n v="1781.682"/>
    <n v="7"/>
    <n v="-653.28340000000003"/>
    <x v="1"/>
    <x v="0"/>
  </r>
  <r>
    <s v="CA-2014-124478"/>
    <x v="98"/>
    <d v="2014-08-12T00:00:00"/>
    <x v="1"/>
    <s v="MA-17560"/>
    <s v="Matt Abelman"/>
    <x v="2"/>
    <s v="United States"/>
    <x v="65"/>
    <x v="17"/>
    <x v="3"/>
    <s v="FUR-FU-10002088"/>
    <s v="Furniture"/>
    <x v="3"/>
    <s v="Nu-Dell Float Frame 11 x 14 1/2"/>
    <n v="53.88"/>
    <n v="6"/>
    <n v="22.6296"/>
    <x v="4"/>
    <x v="10"/>
  </r>
  <r>
    <s v="CA-2014-134572"/>
    <x v="607"/>
    <d v="2014-04-22T00:00:00"/>
    <x v="0"/>
    <s v="SV-20365"/>
    <s v="Seth Vernon"/>
    <x v="0"/>
    <s v="United States"/>
    <x v="6"/>
    <x v="5"/>
    <x v="3"/>
    <s v="FUR-TA-10001705"/>
    <s v="Furniture"/>
    <x v="2"/>
    <s v="Bush Advantage Collection Round Conference Table"/>
    <n v="744.1"/>
    <n v="5"/>
    <n v="-95.67"/>
    <x v="3"/>
    <x v="6"/>
  </r>
  <r>
    <s v="CA-2014-134572"/>
    <x v="607"/>
    <d v="2014-04-22T00:00:00"/>
    <x v="0"/>
    <s v="SV-20365"/>
    <s v="Seth Vernon"/>
    <x v="0"/>
    <s v="United States"/>
    <x v="6"/>
    <x v="5"/>
    <x v="3"/>
    <s v="FUR-TA-10004442"/>
    <s v="Furniture"/>
    <x v="2"/>
    <s v="Riverside Furniture Stanwyck Manor Table Series"/>
    <n v="401.59"/>
    <n v="2"/>
    <n v="-131.95099999999999"/>
    <x v="3"/>
    <x v="6"/>
  </r>
  <r>
    <s v="US-2017-133312"/>
    <x v="608"/>
    <d v="2017-11-29T00:00:00"/>
    <x v="1"/>
    <s v="BD-11500"/>
    <s v="Bradley Drucker"/>
    <x v="0"/>
    <s v="United States"/>
    <x v="28"/>
    <x v="2"/>
    <x v="1"/>
    <s v="FUR-BO-10002213"/>
    <s v="Furniture"/>
    <x v="0"/>
    <s v="Sauder Forest Hills Library, Woodland Oak Finish"/>
    <n v="359.49900000000002"/>
    <n v="3"/>
    <n v="-29.605799999999999"/>
    <x v="4"/>
    <x v="0"/>
  </r>
  <r>
    <s v="US-2014-140452"/>
    <x v="387"/>
    <d v="2014-12-10T00:00:00"/>
    <x v="1"/>
    <s v="BK-11260"/>
    <s v="Berenike Kampe"/>
    <x v="0"/>
    <s v="United States"/>
    <x v="9"/>
    <x v="8"/>
    <x v="3"/>
    <s v="FUR-TA-10004086"/>
    <s v="Furniture"/>
    <x v="2"/>
    <s v="KI Adjustable-Height Table"/>
    <n v="214.95"/>
    <n v="5"/>
    <n v="-120.372"/>
    <x v="4"/>
    <x v="5"/>
  </r>
  <r>
    <s v="US-2014-140452"/>
    <x v="387"/>
    <d v="2014-12-10T00:00:00"/>
    <x v="1"/>
    <s v="BK-11260"/>
    <s v="Berenike Kampe"/>
    <x v="0"/>
    <s v="United States"/>
    <x v="9"/>
    <x v="8"/>
    <x v="3"/>
    <s v="FUR-FU-10002088"/>
    <s v="Furniture"/>
    <x v="3"/>
    <s v="Nu-Dell Float Frame 11 x 14 1/2"/>
    <n v="10.776"/>
    <n v="3"/>
    <n v="-4.8491999999999997"/>
    <x v="4"/>
    <x v="5"/>
  </r>
  <r>
    <s v="CA-2014-116568"/>
    <x v="609"/>
    <d v="2014-12-20T00:00:00"/>
    <x v="1"/>
    <s v="BM-11785"/>
    <s v="Bryan Mills"/>
    <x v="0"/>
    <s v="United States"/>
    <x v="260"/>
    <x v="1"/>
    <x v="0"/>
    <s v="FUR-CH-10002439"/>
    <s v="Furniture"/>
    <x v="1"/>
    <s v="Iceberg Nesting Folding Chair, 19w x 6d x 43h"/>
    <n v="186.304"/>
    <n v="4"/>
    <n v="13.972799999999999"/>
    <x v="6"/>
    <x v="5"/>
  </r>
  <r>
    <s v="CA-2015-153073"/>
    <x v="18"/>
    <d v="2015-11-13T00:00:00"/>
    <x v="3"/>
    <s v="HA-14905"/>
    <s v="Helen Abelman"/>
    <x v="0"/>
    <s v="United States"/>
    <x v="9"/>
    <x v="8"/>
    <x v="3"/>
    <s v="FUR-FU-10001025"/>
    <s v="Furniture"/>
    <x v="3"/>
    <s v="Eldon Imˆge Series Desk Accessories, Clear"/>
    <n v="17.495999999999999"/>
    <n v="9"/>
    <n v="-7.4358000000000004"/>
    <x v="7"/>
    <x v="0"/>
  </r>
  <r>
    <s v="CA-2014-160766"/>
    <x v="94"/>
    <d v="2014-09-14T00:00:00"/>
    <x v="3"/>
    <s v="DM-13015"/>
    <s v="Darrin Martin"/>
    <x v="0"/>
    <s v="United States"/>
    <x v="13"/>
    <x v="7"/>
    <x v="2"/>
    <s v="FUR-TA-10001039"/>
    <s v="Furniture"/>
    <x v="2"/>
    <s v="KI Adjustable-Height Table"/>
    <n v="464.29199999999997"/>
    <n v="9"/>
    <n v="-108.3348"/>
    <x v="7"/>
    <x v="4"/>
  </r>
  <r>
    <s v="CA-2017-146626"/>
    <x v="297"/>
    <d v="2018-01-05T00:00:00"/>
    <x v="1"/>
    <s v="BP-11185"/>
    <s v="Ben Peterman"/>
    <x v="1"/>
    <s v="United States"/>
    <x v="261"/>
    <x v="2"/>
    <x v="1"/>
    <s v="FUR-FU-10002501"/>
    <s v="Furniture"/>
    <x v="3"/>
    <s v="Nu-Dell Executive Frame"/>
    <n v="101.12"/>
    <n v="8"/>
    <n v="37.414400000000001"/>
    <x v="1"/>
    <x v="5"/>
  </r>
  <r>
    <s v="CA-2016-128972"/>
    <x v="282"/>
    <d v="2016-11-17T00:00:00"/>
    <x v="1"/>
    <s v="TS-21430"/>
    <s v="Tom Stivers"/>
    <x v="1"/>
    <s v="United States"/>
    <x v="258"/>
    <x v="37"/>
    <x v="3"/>
    <s v="FUR-FU-10003096"/>
    <s v="Furniture"/>
    <x v="3"/>
    <s v="Master Giant Foot Doorstop, Safety Yellow"/>
    <n v="30.36"/>
    <n v="4"/>
    <n v="13.0548"/>
    <x v="4"/>
    <x v="0"/>
  </r>
  <r>
    <s v="CA-2016-111213"/>
    <x v="610"/>
    <d v="2016-04-05T00:00:00"/>
    <x v="1"/>
    <s v="FP-14320"/>
    <s v="Frank Preis"/>
    <x v="0"/>
    <s v="United States"/>
    <x v="13"/>
    <x v="7"/>
    <x v="2"/>
    <s v="FUR-CH-10000454"/>
    <s v="Furniture"/>
    <x v="1"/>
    <s v="Hon Deluxe Fabric Upholstered Stacking Chairs, Rounded Back"/>
    <n v="1317.492"/>
    <n v="6"/>
    <n v="292.77600000000001"/>
    <x v="4"/>
    <x v="6"/>
  </r>
  <r>
    <s v="CA-2017-161333"/>
    <x v="611"/>
    <d v="2017-02-07T00:00:00"/>
    <x v="1"/>
    <s v="JL-15835"/>
    <s v="John Lee"/>
    <x v="0"/>
    <s v="United States"/>
    <x v="2"/>
    <x v="2"/>
    <x v="1"/>
    <s v="FUR-FU-10003039"/>
    <s v="Furniture"/>
    <x v="3"/>
    <s v="Howard Miller 11-1/2&quot; Diameter Grantwood Wall Clock"/>
    <n v="86.26"/>
    <n v="2"/>
    <n v="29.328399999999998"/>
    <x v="2"/>
    <x v="11"/>
  </r>
  <r>
    <s v="CA-2017-128734"/>
    <x v="455"/>
    <d v="2017-12-31T00:00:00"/>
    <x v="1"/>
    <s v="JL-15175"/>
    <s v="James Lanier"/>
    <x v="2"/>
    <s v="United States"/>
    <x v="262"/>
    <x v="22"/>
    <x v="1"/>
    <s v="FUR-FU-10001731"/>
    <s v="Furniture"/>
    <x v="3"/>
    <s v="Acrylic Self-Standing Desk Frames"/>
    <n v="8.5440000000000005"/>
    <n v="4"/>
    <n v="1.9224000000000001"/>
    <x v="1"/>
    <x v="5"/>
  </r>
  <r>
    <s v="CA-2017-128734"/>
    <x v="455"/>
    <d v="2017-12-31T00:00:00"/>
    <x v="1"/>
    <s v="JL-15175"/>
    <s v="James Lanier"/>
    <x v="2"/>
    <s v="United States"/>
    <x v="262"/>
    <x v="22"/>
    <x v="1"/>
    <s v="FUR-CH-10001394"/>
    <s v="Furniture"/>
    <x v="1"/>
    <s v="Global Leather Executive Chair"/>
    <n v="842.37599999999998"/>
    <n v="3"/>
    <n v="105.297"/>
    <x v="1"/>
    <x v="5"/>
  </r>
  <r>
    <s v="US-2015-124219"/>
    <x v="612"/>
    <d v="2015-08-08T00:00:00"/>
    <x v="2"/>
    <s v="KW-16570"/>
    <s v="Kelly Williams"/>
    <x v="0"/>
    <s v="United States"/>
    <x v="263"/>
    <x v="23"/>
    <x v="3"/>
    <s v="FUR-FU-10000305"/>
    <s v="Furniture"/>
    <x v="3"/>
    <s v="Tenex V2T-RE Standard Weight Series Chair Mat, 45&quot; x 53&quot;, Lip 25&quot; x 12&quot;"/>
    <n v="212.94"/>
    <n v="3"/>
    <n v="34.070399999999999"/>
    <x v="5"/>
    <x v="10"/>
  </r>
  <r>
    <s v="CA-2017-163006"/>
    <x v="254"/>
    <d v="2017-07-04T00:00:00"/>
    <x v="0"/>
    <s v="GH-14410"/>
    <s v="Gary Hansen"/>
    <x v="2"/>
    <s v="United States"/>
    <x v="9"/>
    <x v="8"/>
    <x v="3"/>
    <s v="FUR-CH-10000229"/>
    <s v="Furniture"/>
    <x v="1"/>
    <s v="Global Enterprise Series Seating High-Back Swivel/Tilt Chairs"/>
    <n v="569.05799999999999"/>
    <n v="3"/>
    <n v="-178.8468"/>
    <x v="4"/>
    <x v="2"/>
  </r>
  <r>
    <s v="CA-2017-163006"/>
    <x v="254"/>
    <d v="2017-07-04T00:00:00"/>
    <x v="0"/>
    <s v="GH-14410"/>
    <s v="Gary Hansen"/>
    <x v="2"/>
    <s v="United States"/>
    <x v="9"/>
    <x v="8"/>
    <x v="3"/>
    <s v="FUR-FU-10003799"/>
    <s v="Furniture"/>
    <x v="3"/>
    <s v="Seth Thomas 13 1/2&quot; Wall Clock"/>
    <n v="14.224"/>
    <n v="2"/>
    <n v="-10.3124"/>
    <x v="4"/>
    <x v="2"/>
  </r>
  <r>
    <s v="CA-2014-111192"/>
    <x v="613"/>
    <d v="2014-08-05T00:00:00"/>
    <x v="1"/>
    <s v="TS-21430"/>
    <s v="Tom Stivers"/>
    <x v="1"/>
    <s v="United States"/>
    <x v="15"/>
    <x v="13"/>
    <x v="1"/>
    <s v="FUR-BO-10002916"/>
    <s v="Furniture"/>
    <x v="0"/>
    <s v="Rush Hierlooms Collection 1&quot; Thick Stackable Bookcases"/>
    <n v="1367.84"/>
    <n v="8"/>
    <n v="259.88959999999997"/>
    <x v="6"/>
    <x v="3"/>
  </r>
  <r>
    <s v="CA-2016-115378"/>
    <x v="515"/>
    <d v="2016-11-23T00:00:00"/>
    <x v="0"/>
    <s v="AJ-10945"/>
    <s v="Ashley Jarboe"/>
    <x v="0"/>
    <s v="United States"/>
    <x v="264"/>
    <x v="17"/>
    <x v="3"/>
    <s v="FUR-CH-10000863"/>
    <s v="Furniture"/>
    <x v="1"/>
    <s v="Novimex Swivel Fabric Task Chair"/>
    <n v="301.95999999999998"/>
    <n v="2"/>
    <n v="33.215600000000002"/>
    <x v="2"/>
    <x v="0"/>
  </r>
  <r>
    <s v="CA-2015-161627"/>
    <x v="171"/>
    <d v="2015-07-11T00:00:00"/>
    <x v="1"/>
    <s v="SJ-20215"/>
    <s v="Sarah Jordon"/>
    <x v="0"/>
    <s v="United States"/>
    <x v="102"/>
    <x v="2"/>
    <x v="1"/>
    <s v="FUR-CH-10003968"/>
    <s v="Furniture"/>
    <x v="1"/>
    <s v="Novimex Turbo Task Chair"/>
    <n v="170.352"/>
    <n v="3"/>
    <n v="-17.0352"/>
    <x v="2"/>
    <x v="3"/>
  </r>
  <r>
    <s v="CA-2014-121006"/>
    <x v="448"/>
    <d v="2014-11-16T00:00:00"/>
    <x v="1"/>
    <s v="SC-20020"/>
    <s v="Sam Craven"/>
    <x v="0"/>
    <s v="United States"/>
    <x v="265"/>
    <x v="17"/>
    <x v="3"/>
    <s v="FUR-CH-10004997"/>
    <s v="Furniture"/>
    <x v="1"/>
    <s v="Hon Every-Day Series Multi-Task Chairs"/>
    <n v="563.94000000000005"/>
    <n v="3"/>
    <n v="112.788"/>
    <x v="6"/>
    <x v="0"/>
  </r>
  <r>
    <s v="CA-2016-122903"/>
    <x v="614"/>
    <d v="2016-05-29T00:00:00"/>
    <x v="0"/>
    <s v="LA-16780"/>
    <s v="Laura Armstrong"/>
    <x v="1"/>
    <s v="United States"/>
    <x v="25"/>
    <x v="17"/>
    <x v="3"/>
    <s v="FUR-CH-10002024"/>
    <s v="Furniture"/>
    <x v="1"/>
    <s v="HON 5400 Series Task Chairs for Big and Tall"/>
    <n v="3504.9"/>
    <n v="5"/>
    <n v="700.98"/>
    <x v="3"/>
    <x v="7"/>
  </r>
  <r>
    <s v="CA-2017-106432"/>
    <x v="66"/>
    <d v="2017-10-24T00:00:00"/>
    <x v="1"/>
    <s v="CA-12265"/>
    <s v="Christina Anderson"/>
    <x v="0"/>
    <s v="United States"/>
    <x v="266"/>
    <x v="5"/>
    <x v="3"/>
    <s v="FUR-BO-10004360"/>
    <s v="Furniture"/>
    <x v="0"/>
    <s v="Rush Hierlooms Collection Rich Wood Bookcases"/>
    <n v="328.39920000000001"/>
    <n v="3"/>
    <n v="-91.758600000000001"/>
    <x v="2"/>
    <x v="1"/>
  </r>
  <r>
    <s v="US-2015-120502"/>
    <x v="315"/>
    <d v="2015-04-19T00:00:00"/>
    <x v="1"/>
    <s v="BT-11395"/>
    <s v="Bill Tyler"/>
    <x v="1"/>
    <s v="United States"/>
    <x v="2"/>
    <x v="2"/>
    <x v="1"/>
    <s v="FUR-FU-10004973"/>
    <s v="Furniture"/>
    <x v="3"/>
    <s v="Flat Face Poster Frame"/>
    <n v="37.68"/>
    <n v="2"/>
    <n v="15.8256"/>
    <x v="6"/>
    <x v="6"/>
  </r>
  <r>
    <s v="CA-2015-115567"/>
    <x v="615"/>
    <d v="2015-09-18T00:00:00"/>
    <x v="1"/>
    <s v="ZC-21910"/>
    <s v="Zuschuss Carroll"/>
    <x v="0"/>
    <s v="United States"/>
    <x v="29"/>
    <x v="6"/>
    <x v="3"/>
    <s v="FUR-CH-10000015"/>
    <s v="Furniture"/>
    <x v="1"/>
    <s v="Hon Multipurpose Stacking Arm Chairs"/>
    <n v="1516.2"/>
    <n v="7"/>
    <n v="394.21199999999999"/>
    <x v="2"/>
    <x v="4"/>
  </r>
  <r>
    <s v="CA-2014-101560"/>
    <x v="616"/>
    <d v="2014-12-01T00:00:00"/>
    <x v="0"/>
    <s v="CS-12250"/>
    <s v="Chris Selesnick"/>
    <x v="1"/>
    <s v="United States"/>
    <x v="11"/>
    <x v="10"/>
    <x v="0"/>
    <s v="FUR-FU-10003773"/>
    <s v="Furniture"/>
    <x v="3"/>
    <s v="Eldon Cleatmat Plus Chair Mats for High Pile Carpets"/>
    <n v="397.6"/>
    <n v="5"/>
    <n v="43.735999999999997"/>
    <x v="0"/>
    <x v="0"/>
  </r>
  <r>
    <s v="CA-2015-142454"/>
    <x v="617"/>
    <d v="2015-08-19T00:00:00"/>
    <x v="1"/>
    <s v="RE-19450"/>
    <s v="Richard Eichhorn"/>
    <x v="0"/>
    <s v="United States"/>
    <x v="121"/>
    <x v="2"/>
    <x v="1"/>
    <s v="FUR-FU-10004018"/>
    <s v="Furniture"/>
    <x v="3"/>
    <s v="Tensor Computer Mounted Lamp"/>
    <n v="104.23"/>
    <n v="7"/>
    <n v="28.142099999999999"/>
    <x v="4"/>
    <x v="10"/>
  </r>
  <r>
    <s v="CA-2017-145653"/>
    <x v="449"/>
    <d v="2017-09-01T00:00:00"/>
    <x v="3"/>
    <s v="CA-12775"/>
    <s v="Cynthia Arntzen"/>
    <x v="0"/>
    <s v="United States"/>
    <x v="25"/>
    <x v="17"/>
    <x v="3"/>
    <s v="FUR-CH-10004875"/>
    <s v="Furniture"/>
    <x v="1"/>
    <s v="Harbour Creations 67200 Series Stacking Chairs"/>
    <n v="498.26"/>
    <n v="7"/>
    <n v="134.53020000000001"/>
    <x v="7"/>
    <x v="4"/>
  </r>
  <r>
    <s v="CA-2014-140487"/>
    <x v="618"/>
    <d v="2014-06-20T00:00:00"/>
    <x v="1"/>
    <s v="SR-20425"/>
    <s v="Sharelle Roach"/>
    <x v="2"/>
    <s v="United States"/>
    <x v="25"/>
    <x v="17"/>
    <x v="3"/>
    <s v="FUR-BO-10000711"/>
    <s v="Furniture"/>
    <x v="0"/>
    <s v="Hon Metal Bookcases, Gray"/>
    <n v="212.94"/>
    <n v="3"/>
    <n v="57.4938"/>
    <x v="6"/>
    <x v="2"/>
  </r>
  <r>
    <s v="CA-2016-119865"/>
    <x v="619"/>
    <d v="2016-06-26T00:00:00"/>
    <x v="1"/>
    <s v="AS-10090"/>
    <s v="Adam Shillingsburg"/>
    <x v="0"/>
    <s v="United States"/>
    <x v="13"/>
    <x v="7"/>
    <x v="2"/>
    <s v="FUR-BO-10003272"/>
    <s v="Furniture"/>
    <x v="0"/>
    <s v="O'Sullivan Living Dimensions 5-Shelf Bookcases"/>
    <n v="353.56799999999998"/>
    <n v="2"/>
    <n v="-44.195999999999998"/>
    <x v="2"/>
    <x v="2"/>
  </r>
  <r>
    <s v="CA-2017-124436"/>
    <x v="620"/>
    <d v="2017-03-22T00:00:00"/>
    <x v="0"/>
    <s v="SA-20830"/>
    <s v="Sue Ann Reed"/>
    <x v="0"/>
    <s v="United States"/>
    <x v="99"/>
    <x v="2"/>
    <x v="1"/>
    <s v="FUR-TA-10001095"/>
    <s v="Furniture"/>
    <x v="2"/>
    <s v="Chromcraft Round Conference Tables"/>
    <n v="697.16"/>
    <n v="5"/>
    <n v="8.7144999999999992"/>
    <x v="0"/>
    <x v="9"/>
  </r>
  <r>
    <s v="CA-2017-124436"/>
    <x v="620"/>
    <d v="2017-03-22T00:00:00"/>
    <x v="0"/>
    <s v="SA-20830"/>
    <s v="Sue Ann Reed"/>
    <x v="0"/>
    <s v="United States"/>
    <x v="99"/>
    <x v="2"/>
    <x v="1"/>
    <s v="FUR-FU-10001185"/>
    <s v="Furniture"/>
    <x v="3"/>
    <s v="Advantus Employee of the Month Certificate Frame, 11 x 13-1/2"/>
    <n v="30.93"/>
    <n v="1"/>
    <n v="12.6813"/>
    <x v="0"/>
    <x v="9"/>
  </r>
  <r>
    <s v="CA-2014-115084"/>
    <x v="305"/>
    <d v="2014-10-22T00:00:00"/>
    <x v="1"/>
    <s v="LS-17200"/>
    <s v="Luke Schmidt"/>
    <x v="1"/>
    <s v="United States"/>
    <x v="267"/>
    <x v="31"/>
    <x v="0"/>
    <s v="FUR-CH-10004626"/>
    <s v="Furniture"/>
    <x v="1"/>
    <s v="Office Star Flex Back Scooter Chair with Aluminum Finish Frame"/>
    <n v="605.34"/>
    <n v="6"/>
    <n v="145.2816"/>
    <x v="4"/>
    <x v="1"/>
  </r>
  <r>
    <s v="CA-2017-131037"/>
    <x v="621"/>
    <d v="2017-08-23T00:00:00"/>
    <x v="2"/>
    <s v="TM-21490"/>
    <s v="Tony Molinari"/>
    <x v="0"/>
    <s v="United States"/>
    <x v="28"/>
    <x v="2"/>
    <x v="1"/>
    <s v="FUR-TA-10001768"/>
    <s v="Furniture"/>
    <x v="2"/>
    <s v="Hon Racetrack Conference Tables"/>
    <n v="210.00800000000001"/>
    <n v="1"/>
    <n v="2.6251000000000002"/>
    <x v="5"/>
    <x v="10"/>
  </r>
  <r>
    <s v="CA-2014-166744"/>
    <x v="23"/>
    <d v="2014-09-24T00:00:00"/>
    <x v="1"/>
    <s v="DN-13690"/>
    <s v="Duane Noonan"/>
    <x v="0"/>
    <s v="United States"/>
    <x v="11"/>
    <x v="32"/>
    <x v="2"/>
    <s v="FUR-FU-10004952"/>
    <s v="Furniture"/>
    <x v="3"/>
    <s v="C-Line Cubicle Keepers Polyproplyene Holder w/Velcro Back, 8-1/2x11, 25/Bx"/>
    <n v="164.22"/>
    <n v="3"/>
    <n v="50.908200000000001"/>
    <x v="4"/>
    <x v="4"/>
  </r>
  <r>
    <s v="CA-2014-166744"/>
    <x v="23"/>
    <d v="2014-09-24T00:00:00"/>
    <x v="1"/>
    <s v="DN-13690"/>
    <s v="Duane Noonan"/>
    <x v="0"/>
    <s v="United States"/>
    <x v="11"/>
    <x v="32"/>
    <x v="2"/>
    <s v="FUR-BO-10001337"/>
    <s v="Furniture"/>
    <x v="0"/>
    <s v="O'Sullivan Living Dimensions 2-Shelf Bookcases"/>
    <n v="362.94"/>
    <n v="3"/>
    <n v="36.293999999999997"/>
    <x v="4"/>
    <x v="4"/>
  </r>
  <r>
    <s v="CA-2016-156265"/>
    <x v="622"/>
    <d v="2016-08-04T00:00:00"/>
    <x v="0"/>
    <s v="BF-11020"/>
    <s v="Barry Franzšsisch"/>
    <x v="1"/>
    <s v="United States"/>
    <x v="2"/>
    <x v="2"/>
    <x v="1"/>
    <s v="FUR-TA-10001691"/>
    <s v="Furniture"/>
    <x v="2"/>
    <s v="Barricks Non-Folding Utility Table with Steel Legs, Laminate Tops"/>
    <n v="136.464"/>
    <n v="2"/>
    <n v="15.3522"/>
    <x v="3"/>
    <x v="10"/>
  </r>
  <r>
    <s v="CA-2015-125185"/>
    <x v="298"/>
    <d v="2015-03-07T00:00:00"/>
    <x v="0"/>
    <s v="AH-10195"/>
    <s v="Alan Haines"/>
    <x v="1"/>
    <s v="United States"/>
    <x v="268"/>
    <x v="3"/>
    <x v="2"/>
    <s v="FUR-CH-10002647"/>
    <s v="Furniture"/>
    <x v="1"/>
    <s v="Situations Contoured Folding Chairs, 4/Set"/>
    <n v="99.372"/>
    <n v="2"/>
    <n v="-7.0979999999999999"/>
    <x v="3"/>
    <x v="9"/>
  </r>
  <r>
    <s v="CA-2015-125185"/>
    <x v="298"/>
    <d v="2015-03-07T00:00:00"/>
    <x v="0"/>
    <s v="AH-10195"/>
    <s v="Alan Haines"/>
    <x v="1"/>
    <s v="United States"/>
    <x v="268"/>
    <x v="3"/>
    <x v="2"/>
    <s v="FUR-FU-10003247"/>
    <s v="Furniture"/>
    <x v="3"/>
    <s v="36X48 HARDFLOOR CHAIRMAT"/>
    <n v="33.567999999999998"/>
    <n v="2"/>
    <n v="-5.4547999999999996"/>
    <x v="3"/>
    <x v="9"/>
  </r>
  <r>
    <s v="CA-2014-105165"/>
    <x v="266"/>
    <d v="2014-09-10T00:00:00"/>
    <x v="2"/>
    <s v="SZ-20035"/>
    <s v="Sam Zeldin"/>
    <x v="2"/>
    <s v="United States"/>
    <x v="6"/>
    <x v="5"/>
    <x v="3"/>
    <s v="FUR-TA-10004154"/>
    <s v="Furniture"/>
    <x v="2"/>
    <s v="Riverside Furniture Oval Coffee Table, Oval End Table, End Table with Drawer"/>
    <n v="200.79499999999999"/>
    <n v="1"/>
    <n v="-22.948"/>
    <x v="0"/>
    <x v="4"/>
  </r>
  <r>
    <s v="CA-2017-144484"/>
    <x v="91"/>
    <d v="2017-09-11T00:00:00"/>
    <x v="3"/>
    <s v="CB-12025"/>
    <s v="Cassandra Brandow"/>
    <x v="0"/>
    <s v="United States"/>
    <x v="28"/>
    <x v="2"/>
    <x v="1"/>
    <s v="FUR-FU-10000260"/>
    <s v="Furniture"/>
    <x v="3"/>
    <s v="6&quot; Cubicle Wall Clock, Black"/>
    <n v="32.36"/>
    <n v="4"/>
    <n v="11.6496"/>
    <x v="7"/>
    <x v="4"/>
  </r>
  <r>
    <s v="CA-2017-125913"/>
    <x v="623"/>
    <d v="2017-01-16T00:00:00"/>
    <x v="3"/>
    <s v="JO-15145"/>
    <s v="Jack O'Briant"/>
    <x v="1"/>
    <s v="United States"/>
    <x v="2"/>
    <x v="2"/>
    <x v="1"/>
    <s v="FUR-FU-10001487"/>
    <s v="Furniture"/>
    <x v="3"/>
    <s v="Eldon Expressions Wood and Plastic Desk Accessories, Cherry Wood"/>
    <n v="27.92"/>
    <n v="4"/>
    <n v="8.0968"/>
    <x v="7"/>
    <x v="8"/>
  </r>
  <r>
    <s v="CA-2017-125913"/>
    <x v="623"/>
    <d v="2017-01-16T00:00:00"/>
    <x v="3"/>
    <s v="JO-15145"/>
    <s v="Jack O'Briant"/>
    <x v="1"/>
    <s v="United States"/>
    <x v="2"/>
    <x v="2"/>
    <x v="1"/>
    <s v="FUR-TA-10001520"/>
    <s v="Furniture"/>
    <x v="2"/>
    <s v="Lesro Sheffield Collection Coffee Table, End Table, Center Table, Corner Table"/>
    <n v="399.67200000000003"/>
    <n v="7"/>
    <n v="-14.9877"/>
    <x v="7"/>
    <x v="8"/>
  </r>
  <r>
    <s v="CA-2015-162887"/>
    <x v="86"/>
    <d v="2015-11-09T00:00:00"/>
    <x v="0"/>
    <s v="SV-20785"/>
    <s v="Stewart Visinsky"/>
    <x v="0"/>
    <s v="United States"/>
    <x v="259"/>
    <x v="43"/>
    <x v="2"/>
    <s v="FUR-CH-10000595"/>
    <s v="Furniture"/>
    <x v="1"/>
    <s v="Safco Contoured Stacking Chairs"/>
    <n v="715.2"/>
    <n v="3"/>
    <n v="178.8"/>
    <x v="3"/>
    <x v="0"/>
  </r>
  <r>
    <s v="CA-2014-113859"/>
    <x v="624"/>
    <d v="2014-09-17T00:00:00"/>
    <x v="1"/>
    <s v="BC-11125"/>
    <s v="Becky Castell"/>
    <x v="2"/>
    <s v="United States"/>
    <x v="221"/>
    <x v="5"/>
    <x v="3"/>
    <s v="FUR-CH-10004698"/>
    <s v="Furniture"/>
    <x v="1"/>
    <s v="Padded Folding Chairs, Black, 4/Carton"/>
    <n v="340.11599999999999"/>
    <n v="6"/>
    <n v="-9.7175999999999991"/>
    <x v="4"/>
    <x v="4"/>
  </r>
  <r>
    <s v="CA-2015-105158"/>
    <x v="278"/>
    <d v="2015-09-10T00:00:00"/>
    <x v="1"/>
    <s v="SP-20860"/>
    <s v="Sung Pak"/>
    <x v="1"/>
    <s v="United States"/>
    <x v="77"/>
    <x v="11"/>
    <x v="3"/>
    <s v="FUR-FU-10001706"/>
    <s v="Furniture"/>
    <x v="3"/>
    <s v="Longer-Life Soft White Bulbs"/>
    <n v="6.16"/>
    <n v="2"/>
    <n v="2.9567999999999999"/>
    <x v="2"/>
    <x v="4"/>
  </r>
  <r>
    <s v="CA-2017-105991"/>
    <x v="625"/>
    <d v="2017-05-06T00:00:00"/>
    <x v="2"/>
    <s v="LH-17020"/>
    <s v="Lisa Hazard"/>
    <x v="0"/>
    <s v="United States"/>
    <x v="74"/>
    <x v="12"/>
    <x v="1"/>
    <s v="FUR-BO-10004467"/>
    <s v="Furniture"/>
    <x v="0"/>
    <s v="Bestar Classic Bookcase"/>
    <n v="89.991"/>
    <n v="3"/>
    <n v="-152.9847"/>
    <x v="5"/>
    <x v="7"/>
  </r>
  <r>
    <s v="CA-2014-146283"/>
    <x v="30"/>
    <d v="2014-09-15T00:00:00"/>
    <x v="1"/>
    <s v="KT-16465"/>
    <s v="Kean Takahito"/>
    <x v="0"/>
    <s v="United States"/>
    <x v="6"/>
    <x v="5"/>
    <x v="3"/>
    <s v="FUR-CH-10004287"/>
    <s v="Furniture"/>
    <x v="1"/>
    <s v="SAFCO Arco Folding Chair"/>
    <n v="966.7"/>
    <n v="5"/>
    <n v="-13.81"/>
    <x v="1"/>
    <x v="4"/>
  </r>
  <r>
    <s v="CA-2015-111073"/>
    <x v="626"/>
    <d v="2015-12-30T00:00:00"/>
    <x v="1"/>
    <s v="MC-18100"/>
    <s v="Mick Crebagga"/>
    <x v="0"/>
    <s v="United States"/>
    <x v="23"/>
    <x v="15"/>
    <x v="2"/>
    <s v="FUR-TA-10004086"/>
    <s v="Furniture"/>
    <x v="2"/>
    <s v="KI Adjustable-Height Table"/>
    <n v="51.588000000000001"/>
    <n v="1"/>
    <n v="-15.4764"/>
    <x v="4"/>
    <x v="5"/>
  </r>
  <r>
    <s v="CA-2017-108791"/>
    <x v="534"/>
    <d v="2017-07-31T00:00:00"/>
    <x v="1"/>
    <s v="TM-21490"/>
    <s v="Tony Molinari"/>
    <x v="0"/>
    <s v="United States"/>
    <x v="90"/>
    <x v="7"/>
    <x v="2"/>
    <s v="FUR-FU-10004018"/>
    <s v="Furniture"/>
    <x v="3"/>
    <s v="Tensor Computer Mounted Lamp"/>
    <n v="14.89"/>
    <n v="1"/>
    <n v="4.0202999999999998"/>
    <x v="4"/>
    <x v="3"/>
  </r>
  <r>
    <s v="CA-2016-113831"/>
    <x v="82"/>
    <d v="2016-06-03T00:00:00"/>
    <x v="1"/>
    <s v="AH-10690"/>
    <s v="Anna HŠberlin"/>
    <x v="1"/>
    <s v="United States"/>
    <x v="76"/>
    <x v="25"/>
    <x v="0"/>
    <s v="FUR-TA-10002645"/>
    <s v="Furniture"/>
    <x v="2"/>
    <s v="Hon Rectangular Conference Tables"/>
    <n v="2275.5"/>
    <n v="10"/>
    <n v="386.83499999999998"/>
    <x v="4"/>
    <x v="7"/>
  </r>
  <r>
    <s v="US-2014-139500"/>
    <x v="627"/>
    <d v="2014-11-20T00:00:00"/>
    <x v="1"/>
    <s v="AB-10165"/>
    <s v="Alan Barnes"/>
    <x v="0"/>
    <s v="United States"/>
    <x v="42"/>
    <x v="8"/>
    <x v="3"/>
    <s v="FUR-CH-10002017"/>
    <s v="Furniture"/>
    <x v="1"/>
    <s v="SAFCO Optional Arm Kit for Workspace Cribbage Stacking Chair"/>
    <n v="37.295999999999999"/>
    <n v="2"/>
    <n v="-1.0656000000000001"/>
    <x v="4"/>
    <x v="0"/>
  </r>
  <r>
    <s v="US-2014-166310"/>
    <x v="628"/>
    <d v="2014-09-23T00:00:00"/>
    <x v="2"/>
    <s v="JS-15940"/>
    <s v="Joni Sundaresam"/>
    <x v="2"/>
    <s v="United States"/>
    <x v="269"/>
    <x v="5"/>
    <x v="3"/>
    <s v="FUR-FU-10001546"/>
    <s v="Furniture"/>
    <x v="3"/>
    <s v="Dana Swing-Arm Lamps"/>
    <n v="8.5440000000000005"/>
    <n v="2"/>
    <n v="-7.476"/>
    <x v="3"/>
    <x v="4"/>
  </r>
  <r>
    <s v="US-2016-168410"/>
    <x v="629"/>
    <d v="2016-02-26T00:00:00"/>
    <x v="1"/>
    <s v="BV-11245"/>
    <s v="Benjamin Venier"/>
    <x v="1"/>
    <s v="United States"/>
    <x v="64"/>
    <x v="7"/>
    <x v="2"/>
    <s v="FUR-FU-10000629"/>
    <s v="Furniture"/>
    <x v="3"/>
    <s v="9-3/4 Diameter Round Wall Clock"/>
    <n v="68.95"/>
    <n v="5"/>
    <n v="28.959"/>
    <x v="2"/>
    <x v="11"/>
  </r>
  <r>
    <s v="CA-2017-131254"/>
    <x v="49"/>
    <d v="2017-11-21T00:00:00"/>
    <x v="2"/>
    <s v="NC-18415"/>
    <s v="Nathan Cano"/>
    <x v="0"/>
    <s v="United States"/>
    <x v="6"/>
    <x v="5"/>
    <x v="3"/>
    <s v="FUR-CH-10003774"/>
    <s v="Furniture"/>
    <x v="1"/>
    <s v="Global Wood Trimmed Manager's Task Chair, Khaki"/>
    <n v="191.05799999999999"/>
    <n v="3"/>
    <n v="-46.399799999999999"/>
    <x v="3"/>
    <x v="0"/>
  </r>
  <r>
    <s v="CA-2017-137876"/>
    <x v="393"/>
    <d v="2017-05-05T00:00:00"/>
    <x v="1"/>
    <s v="DJ-13510"/>
    <s v="Don Jones"/>
    <x v="1"/>
    <s v="United States"/>
    <x v="28"/>
    <x v="2"/>
    <x v="1"/>
    <s v="FUR-FU-10000222"/>
    <s v="Furniture"/>
    <x v="3"/>
    <s v="Seth Thomas 16&quot; Steel Case Clock"/>
    <n v="64.959999999999994"/>
    <n v="2"/>
    <n v="21.436800000000002"/>
    <x v="2"/>
    <x v="6"/>
  </r>
  <r>
    <s v="CA-2016-154060"/>
    <x v="630"/>
    <d v="2016-05-08T00:00:00"/>
    <x v="1"/>
    <s v="DL-12865"/>
    <s v="Dan Lawera"/>
    <x v="0"/>
    <s v="United States"/>
    <x v="224"/>
    <x v="30"/>
    <x v="0"/>
    <s v="FUR-CH-10002304"/>
    <s v="Furniture"/>
    <x v="1"/>
    <s v="Global Stack Chair without Arms, Black"/>
    <n v="187.05600000000001"/>
    <n v="9"/>
    <n v="11.691000000000001"/>
    <x v="6"/>
    <x v="7"/>
  </r>
  <r>
    <s v="US-2017-162558"/>
    <x v="125"/>
    <d v="2017-10-05T00:00:00"/>
    <x v="2"/>
    <s v="Dp-13240"/>
    <s v="Dean percer"/>
    <x v="2"/>
    <s v="United States"/>
    <x v="270"/>
    <x v="9"/>
    <x v="0"/>
    <s v="FUR-FU-10002364"/>
    <s v="Furniture"/>
    <x v="3"/>
    <s v="Eldon Expressions Wood Desk Accessories, Oak"/>
    <n v="11.808"/>
    <n v="2"/>
    <n v="1.3284"/>
    <x v="0"/>
    <x v="1"/>
  </r>
  <r>
    <s v="US-2017-162558"/>
    <x v="125"/>
    <d v="2017-10-05T00:00:00"/>
    <x v="2"/>
    <s v="Dp-13240"/>
    <s v="Dean percer"/>
    <x v="2"/>
    <s v="United States"/>
    <x v="270"/>
    <x v="9"/>
    <x v="0"/>
    <s v="FUR-FU-10004864"/>
    <s v="Furniture"/>
    <x v="3"/>
    <s v="Eldon 500 Class Desk Accessories"/>
    <n v="9.6560000000000006"/>
    <n v="1"/>
    <n v="1.5690999999999999"/>
    <x v="0"/>
    <x v="1"/>
  </r>
  <r>
    <s v="US-2017-162558"/>
    <x v="125"/>
    <d v="2017-10-05T00:00:00"/>
    <x v="2"/>
    <s v="Dp-13240"/>
    <s v="Dean percer"/>
    <x v="2"/>
    <s v="United States"/>
    <x v="270"/>
    <x v="9"/>
    <x v="0"/>
    <s v="FUR-TA-10000198"/>
    <s v="Furniture"/>
    <x v="2"/>
    <s v="Chromcraft Bull-Nose Wood Oval Conference Tables &amp; Bases"/>
    <n v="2314.116"/>
    <n v="7"/>
    <n v="-1002.7836"/>
    <x v="0"/>
    <x v="1"/>
  </r>
  <r>
    <s v="US-2017-162558"/>
    <x v="125"/>
    <d v="2017-10-05T00:00:00"/>
    <x v="2"/>
    <s v="Dp-13240"/>
    <s v="Dean percer"/>
    <x v="2"/>
    <s v="United States"/>
    <x v="270"/>
    <x v="9"/>
    <x v="0"/>
    <s v="FUR-FU-10003691"/>
    <s v="Furniture"/>
    <x v="3"/>
    <s v="Eldon Image Series Desk Accessories, Ebony"/>
    <n v="19.760000000000002"/>
    <n v="2"/>
    <n v="5.9279999999999999"/>
    <x v="0"/>
    <x v="1"/>
  </r>
  <r>
    <s v="CA-2015-119508"/>
    <x v="463"/>
    <d v="2015-12-09T00:00:00"/>
    <x v="1"/>
    <s v="TZ-21580"/>
    <s v="Tracy Zic"/>
    <x v="0"/>
    <s v="United States"/>
    <x v="174"/>
    <x v="2"/>
    <x v="1"/>
    <s v="FUR-FU-10004270"/>
    <s v="Furniture"/>
    <x v="3"/>
    <s v="Eldon Image Series Desk Accessories, Burgundy"/>
    <n v="25.08"/>
    <n v="6"/>
    <n v="9.0288000000000004"/>
    <x v="2"/>
    <x v="5"/>
  </r>
  <r>
    <s v="CA-2016-123120"/>
    <x v="631"/>
    <d v="2016-09-08T00:00:00"/>
    <x v="1"/>
    <s v="CV-12295"/>
    <s v="Christina VanderZanden"/>
    <x v="0"/>
    <s v="United States"/>
    <x v="13"/>
    <x v="7"/>
    <x v="2"/>
    <s v="FUR-FU-10004748"/>
    <s v="Furniture"/>
    <x v="3"/>
    <s v="Howard Miller 16&quot; Diameter Gallery Wall Clock"/>
    <n v="63.94"/>
    <n v="1"/>
    <n v="24.936599999999999"/>
    <x v="4"/>
    <x v="4"/>
  </r>
  <r>
    <s v="CA-2014-103331"/>
    <x v="632"/>
    <d v="2014-09-01T00:00:00"/>
    <x v="1"/>
    <s v="KB-16315"/>
    <s v="Karl Braun"/>
    <x v="0"/>
    <s v="United States"/>
    <x v="19"/>
    <x v="14"/>
    <x v="2"/>
    <s v="FUR-FU-10001731"/>
    <s v="Furniture"/>
    <x v="3"/>
    <s v="Acrylic Self-Standing Desk Frames"/>
    <n v="10.68"/>
    <n v="4"/>
    <n v="4.0583999999999998"/>
    <x v="6"/>
    <x v="10"/>
  </r>
  <r>
    <s v="CA-2014-113768"/>
    <x v="633"/>
    <d v="2014-05-19T00:00:00"/>
    <x v="1"/>
    <s v="AH-10030"/>
    <s v="Aaron Hawkins"/>
    <x v="1"/>
    <s v="United States"/>
    <x v="2"/>
    <x v="2"/>
    <x v="1"/>
    <s v="FUR-CH-10002439"/>
    <s v="Furniture"/>
    <x v="1"/>
    <s v="Iceberg Nesting Folding Chair, 19w x 6d x 43h"/>
    <n v="279.45600000000002"/>
    <n v="6"/>
    <n v="20.959199999999999"/>
    <x v="6"/>
    <x v="7"/>
  </r>
  <r>
    <s v="US-2017-126060"/>
    <x v="438"/>
    <d v="2017-04-18T00:00:00"/>
    <x v="1"/>
    <s v="DW-13585"/>
    <s v="Dorothy Wardle"/>
    <x v="1"/>
    <s v="United States"/>
    <x v="160"/>
    <x v="30"/>
    <x v="0"/>
    <s v="FUR-BO-10003433"/>
    <s v="Furniture"/>
    <x v="0"/>
    <s v="Sauder Cornerstone Collection Library"/>
    <n v="198.27199999999999"/>
    <n v="8"/>
    <n v="-32.219200000000001"/>
    <x v="4"/>
    <x v="6"/>
  </r>
  <r>
    <s v="CA-2016-122017"/>
    <x v="353"/>
    <d v="2017-01-02T00:00:00"/>
    <x v="1"/>
    <s v="CD-11920"/>
    <s v="Carlos Daly"/>
    <x v="0"/>
    <s v="United States"/>
    <x v="271"/>
    <x v="44"/>
    <x v="3"/>
    <s v="FUR-FU-10000672"/>
    <s v="Furniture"/>
    <x v="3"/>
    <s v="Executive Impressions 10&quot; Spectator Wall Clock"/>
    <n v="70.56"/>
    <n v="6"/>
    <n v="23.990400000000001"/>
    <x v="4"/>
    <x v="5"/>
  </r>
  <r>
    <s v="US-2017-136721"/>
    <x v="403"/>
    <d v="2017-04-12T00:00:00"/>
    <x v="1"/>
    <s v="NH-18610"/>
    <s v="Nicole Hansen"/>
    <x v="1"/>
    <s v="United States"/>
    <x v="272"/>
    <x v="17"/>
    <x v="3"/>
    <s v="FUR-FU-10004665"/>
    <s v="Furniture"/>
    <x v="3"/>
    <s v="3M Polarizing Task Lamp with Clamp Arm, Light Gray"/>
    <n v="273.95999999999998"/>
    <n v="2"/>
    <n v="71.229600000000005"/>
    <x v="4"/>
    <x v="6"/>
  </r>
  <r>
    <s v="US-2017-136721"/>
    <x v="403"/>
    <d v="2017-04-12T00:00:00"/>
    <x v="1"/>
    <s v="NH-18610"/>
    <s v="Nicole Hansen"/>
    <x v="1"/>
    <s v="United States"/>
    <x v="272"/>
    <x v="17"/>
    <x v="3"/>
    <s v="FUR-FU-10004188"/>
    <s v="Furniture"/>
    <x v="3"/>
    <s v="Luxo Professional Combination Clamp-On Lamps"/>
    <n v="306.89999999999998"/>
    <n v="3"/>
    <n v="79.793999999999997"/>
    <x v="4"/>
    <x v="6"/>
  </r>
  <r>
    <s v="CA-2015-118738"/>
    <x v="634"/>
    <d v="2015-10-30T00:00:00"/>
    <x v="1"/>
    <s v="AG-10495"/>
    <s v="Andrew Gjertsen"/>
    <x v="1"/>
    <s v="United States"/>
    <x v="6"/>
    <x v="5"/>
    <x v="3"/>
    <s v="FUR-TA-10002607"/>
    <s v="Furniture"/>
    <x v="2"/>
    <s v="KI Conference Tables"/>
    <n v="347.36099999999999"/>
    <n v="7"/>
    <n v="-69.472200000000001"/>
    <x v="6"/>
    <x v="1"/>
  </r>
  <r>
    <s v="US-2014-123183"/>
    <x v="635"/>
    <d v="2014-11-25T00:00:00"/>
    <x v="1"/>
    <s v="GR-14560"/>
    <s v="Georgia Rosenberg"/>
    <x v="1"/>
    <s v="United States"/>
    <x v="16"/>
    <x v="14"/>
    <x v="2"/>
    <s v="FUR-BO-10000362"/>
    <s v="Furniture"/>
    <x v="0"/>
    <s v="Sauder Inglewood Library Bookcases"/>
    <n v="1025.8800000000001"/>
    <n v="6"/>
    <n v="235.95240000000001"/>
    <x v="6"/>
    <x v="0"/>
  </r>
  <r>
    <s v="US-2016-147340"/>
    <x v="211"/>
    <d v="2016-09-24T00:00:00"/>
    <x v="3"/>
    <s v="EB-13750"/>
    <s v="Edward Becker"/>
    <x v="1"/>
    <s v="United States"/>
    <x v="28"/>
    <x v="2"/>
    <x v="1"/>
    <s v="FUR-FU-10002501"/>
    <s v="Furniture"/>
    <x v="3"/>
    <s v="Nu-Dell Executive Frame"/>
    <n v="63.2"/>
    <n v="5"/>
    <n v="23.384"/>
    <x v="7"/>
    <x v="4"/>
  </r>
  <r>
    <s v="CA-2016-117681"/>
    <x v="636"/>
    <d v="2016-04-14T00:00:00"/>
    <x v="1"/>
    <s v="HF-14995"/>
    <s v="Herbert Flentye"/>
    <x v="0"/>
    <s v="United States"/>
    <x v="2"/>
    <x v="2"/>
    <x v="1"/>
    <s v="FUR-BO-10001798"/>
    <s v="Furniture"/>
    <x v="0"/>
    <s v="Bush Somerset Collection Bookcase"/>
    <n v="556.66499999999996"/>
    <n v="5"/>
    <n v="6.5490000000000004"/>
    <x v="2"/>
    <x v="6"/>
  </r>
  <r>
    <s v="CA-2016-153598"/>
    <x v="122"/>
    <d v="2016-12-06T00:00:00"/>
    <x v="2"/>
    <s v="NM-18520"/>
    <s v="Neoma Murray"/>
    <x v="0"/>
    <s v="United States"/>
    <x v="2"/>
    <x v="2"/>
    <x v="1"/>
    <s v="FUR-FU-10001085"/>
    <s v="Furniture"/>
    <x v="3"/>
    <s v="3M Polarizing Light Filter Sleeves"/>
    <n v="111.9"/>
    <n v="6"/>
    <n v="51.473999999999997"/>
    <x v="0"/>
    <x v="5"/>
  </r>
  <r>
    <s v="US-2016-108497"/>
    <x v="184"/>
    <d v="2016-06-14T00:00:00"/>
    <x v="3"/>
    <s v="MH-17290"/>
    <s v="Marc Harrigan"/>
    <x v="2"/>
    <s v="United States"/>
    <x v="2"/>
    <x v="2"/>
    <x v="1"/>
    <s v="FUR-BO-10004218"/>
    <s v="Furniture"/>
    <x v="0"/>
    <s v="Bush Heritage Pine Collection 5-Shelf Bookcase, Albany Pine Finish, *Special Order"/>
    <n v="599.16499999999996"/>
    <n v="5"/>
    <n v="35.244999999999997"/>
    <x v="7"/>
    <x v="2"/>
  </r>
  <r>
    <s v="CA-2014-136861"/>
    <x v="637"/>
    <d v="2014-09-07T00:00:00"/>
    <x v="2"/>
    <s v="PR-18880"/>
    <s v="Patrick Ryan"/>
    <x v="0"/>
    <s v="United States"/>
    <x v="66"/>
    <x v="1"/>
    <x v="0"/>
    <s v="FUR-FU-10001967"/>
    <s v="Furniture"/>
    <x v="3"/>
    <s v="Telescoping Adjustable Floor Lamp"/>
    <n v="31.984000000000002"/>
    <n v="2"/>
    <n v="1.9990000000000001"/>
    <x v="3"/>
    <x v="4"/>
  </r>
  <r>
    <s v="CA-2014-103317"/>
    <x v="638"/>
    <d v="2014-07-08T00:00:00"/>
    <x v="2"/>
    <s v="DM-13525"/>
    <s v="Don Miller"/>
    <x v="1"/>
    <s v="United States"/>
    <x v="273"/>
    <x v="1"/>
    <x v="0"/>
    <s v="FUR-FU-10001591"/>
    <s v="Furniture"/>
    <x v="3"/>
    <s v="Advantus Panel Wall Certificate Holder - 8.5x11"/>
    <n v="19.52"/>
    <n v="2"/>
    <n v="5.3680000000000003"/>
    <x v="0"/>
    <x v="3"/>
  </r>
  <r>
    <s v="CA-2014-103317"/>
    <x v="638"/>
    <d v="2014-07-08T00:00:00"/>
    <x v="2"/>
    <s v="DM-13525"/>
    <s v="Don Miller"/>
    <x v="1"/>
    <s v="United States"/>
    <x v="273"/>
    <x v="1"/>
    <x v="0"/>
    <s v="FUR-FU-10003192"/>
    <s v="Furniture"/>
    <x v="3"/>
    <s v="Luxo Adjustable Task Clamp Lamp"/>
    <n v="213.21600000000001"/>
    <n v="3"/>
    <n v="15.991199999999999"/>
    <x v="0"/>
    <x v="3"/>
  </r>
  <r>
    <s v="US-2014-119081"/>
    <x v="639"/>
    <d v="2014-09-19T00:00:00"/>
    <x v="1"/>
    <s v="TA-21385"/>
    <s v="Tom Ashbrook"/>
    <x v="2"/>
    <s v="United States"/>
    <x v="274"/>
    <x v="44"/>
    <x v="3"/>
    <s v="FUR-FU-10003464"/>
    <s v="Furniture"/>
    <x v="3"/>
    <s v="Seth Thomas 8 1/2&quot; Cubicle Clock"/>
    <n v="40.56"/>
    <n v="2"/>
    <n v="12.979200000000001"/>
    <x v="1"/>
    <x v="4"/>
  </r>
  <r>
    <s v="CA-2017-130631"/>
    <x v="297"/>
    <d v="2018-01-02T00:00:00"/>
    <x v="1"/>
    <s v="BS-11755"/>
    <s v="Bruce Stewart"/>
    <x v="0"/>
    <s v="United States"/>
    <x v="71"/>
    <x v="13"/>
    <x v="1"/>
    <s v="FUR-FU-10004093"/>
    <s v="Furniture"/>
    <x v="3"/>
    <s v="Hand-Finished Solid Wood Document Frame"/>
    <n v="68.459999999999994"/>
    <n v="2"/>
    <n v="20.538"/>
    <x v="4"/>
    <x v="5"/>
  </r>
  <r>
    <s v="CA-2017-116680"/>
    <x v="362"/>
    <d v="2017-09-06T00:00:00"/>
    <x v="0"/>
    <s v="PK-19075"/>
    <s v="Pete Kriz"/>
    <x v="0"/>
    <s v="United States"/>
    <x v="28"/>
    <x v="2"/>
    <x v="1"/>
    <s v="FUR-TA-10001771"/>
    <s v="Furniture"/>
    <x v="2"/>
    <s v="Bush Cubix Conference Tables, Fully Assembled"/>
    <n v="1478.2719999999999"/>
    <n v="8"/>
    <n v="92.391999999999996"/>
    <x v="3"/>
    <x v="4"/>
  </r>
  <r>
    <s v="CA-2017-101574"/>
    <x v="559"/>
    <d v="2017-10-04T00:00:00"/>
    <x v="1"/>
    <s v="BD-11725"/>
    <s v="Bruce Degenhardt"/>
    <x v="0"/>
    <s v="United States"/>
    <x v="2"/>
    <x v="2"/>
    <x v="1"/>
    <s v="FUR-FU-10001706"/>
    <s v="Furniture"/>
    <x v="3"/>
    <s v="Longer-Life Soft White Bulbs"/>
    <n v="9.24"/>
    <n v="3"/>
    <n v="4.4352"/>
    <x v="6"/>
    <x v="4"/>
  </r>
  <r>
    <s v="CA-2014-146591"/>
    <x v="640"/>
    <d v="2014-01-20T00:00:00"/>
    <x v="2"/>
    <s v="TS-21340"/>
    <s v="Toby Swindell"/>
    <x v="0"/>
    <s v="United States"/>
    <x v="163"/>
    <x v="22"/>
    <x v="1"/>
    <s v="FUR-BO-10001972"/>
    <s v="Furniture"/>
    <x v="0"/>
    <s v="O'Sullivan 4-Shelf Bookcase in Odessa Pine"/>
    <n v="181.47"/>
    <n v="5"/>
    <n v="-320.59699999999998"/>
    <x v="5"/>
    <x v="8"/>
  </r>
  <r>
    <s v="CA-2016-122448"/>
    <x v="641"/>
    <d v="2016-06-14T00:00:00"/>
    <x v="1"/>
    <s v="DB-13210"/>
    <s v="Dean Braden"/>
    <x v="0"/>
    <s v="United States"/>
    <x v="28"/>
    <x v="2"/>
    <x v="1"/>
    <s v="FUR-CH-10002774"/>
    <s v="Furniture"/>
    <x v="1"/>
    <s v="Global Deluxe Stacking Chair, Gray"/>
    <n v="122.352"/>
    <n v="3"/>
    <n v="13.7646"/>
    <x v="2"/>
    <x v="2"/>
  </r>
  <r>
    <s v="CA-2014-132451"/>
    <x v="218"/>
    <d v="2014-09-27T00:00:00"/>
    <x v="2"/>
    <s v="KF-16285"/>
    <s v="Karen Ferguson"/>
    <x v="2"/>
    <s v="United States"/>
    <x v="53"/>
    <x v="2"/>
    <x v="1"/>
    <s v="FUR-CH-10000454"/>
    <s v="Furniture"/>
    <x v="1"/>
    <s v="Hon Deluxe Fabric Upholstered Stacking Chairs, Rounded Back"/>
    <n v="585.55200000000002"/>
    <n v="3"/>
    <n v="73.194000000000003"/>
    <x v="5"/>
    <x v="4"/>
  </r>
  <r>
    <s v="CA-2017-116946"/>
    <x v="642"/>
    <d v="2017-12-23T00:00:00"/>
    <x v="1"/>
    <s v="TS-21505"/>
    <s v="Tony Sayre"/>
    <x v="0"/>
    <s v="United States"/>
    <x v="47"/>
    <x v="12"/>
    <x v="1"/>
    <s v="FUR-FU-10000320"/>
    <s v="Furniture"/>
    <x v="3"/>
    <s v="OIC Stacking Trays"/>
    <n v="13.36"/>
    <n v="5"/>
    <n v="4.008"/>
    <x v="4"/>
    <x v="5"/>
  </r>
  <r>
    <s v="CA-2017-116946"/>
    <x v="642"/>
    <d v="2017-12-23T00:00:00"/>
    <x v="1"/>
    <s v="TS-21505"/>
    <s v="Tony Sayre"/>
    <x v="0"/>
    <s v="United States"/>
    <x v="47"/>
    <x v="12"/>
    <x v="1"/>
    <s v="FUR-BO-10000468"/>
    <s v="Furniture"/>
    <x v="0"/>
    <s v="O'Sullivan 2-Shelf Heavy-Duty Bookcases"/>
    <n v="102.018"/>
    <n v="7"/>
    <n v="-183.63239999999999"/>
    <x v="4"/>
    <x v="5"/>
  </r>
  <r>
    <s v="CA-2017-148999"/>
    <x v="129"/>
    <d v="2017-02-04T00:00:00"/>
    <x v="1"/>
    <s v="EB-13870"/>
    <s v="Emily Burns"/>
    <x v="0"/>
    <s v="United States"/>
    <x v="89"/>
    <x v="1"/>
    <x v="0"/>
    <s v="FUR-CH-10002044"/>
    <s v="Furniture"/>
    <x v="1"/>
    <s v="Office Star - Contemporary Task Swivel chair with 2-way adjustable arms, Plum"/>
    <n v="419.13600000000002"/>
    <n v="4"/>
    <n v="-68.1096"/>
    <x v="2"/>
    <x v="8"/>
  </r>
  <r>
    <s v="CA-2017-134495"/>
    <x v="535"/>
    <d v="2017-04-04T00:00:00"/>
    <x v="0"/>
    <s v="BF-11020"/>
    <s v="Barry Franzšsisch"/>
    <x v="1"/>
    <s v="United States"/>
    <x v="51"/>
    <x v="1"/>
    <x v="0"/>
    <s v="FUR-CH-10003774"/>
    <s v="Furniture"/>
    <x v="1"/>
    <s v="Global Wood Trimmed Manager's Task Chair, Khaki"/>
    <n v="218.352"/>
    <n v="3"/>
    <n v="-19.105799999999999"/>
    <x v="0"/>
    <x v="6"/>
  </r>
  <r>
    <s v="CA-2014-105249"/>
    <x v="616"/>
    <d v="2014-11-28T00:00:00"/>
    <x v="3"/>
    <s v="DH-13675"/>
    <s v="Duane Huffman"/>
    <x v="2"/>
    <s v="United States"/>
    <x v="28"/>
    <x v="2"/>
    <x v="1"/>
    <s v="FUR-BO-10000330"/>
    <s v="Furniture"/>
    <x v="0"/>
    <s v="Sauder Camden County Barrister Bookcase, Planked Cherry Finish"/>
    <n v="411.33199999999999"/>
    <n v="4"/>
    <n v="-4.8391999999999999"/>
    <x v="7"/>
    <x v="0"/>
  </r>
  <r>
    <s v="CA-2017-164378"/>
    <x v="316"/>
    <d v="2017-07-18T00:00:00"/>
    <x v="0"/>
    <s v="MM-18055"/>
    <s v="Michelle Moray"/>
    <x v="0"/>
    <s v="United States"/>
    <x v="13"/>
    <x v="7"/>
    <x v="2"/>
    <s v="FUR-CH-10002084"/>
    <s v="Furniture"/>
    <x v="1"/>
    <s v="Hon Mobius Operator's Chair"/>
    <n v="664.14599999999996"/>
    <n v="6"/>
    <n v="88.552800000000005"/>
    <x v="0"/>
    <x v="3"/>
  </r>
  <r>
    <s v="CA-2017-127782"/>
    <x v="575"/>
    <d v="2017-11-06T00:00:00"/>
    <x v="1"/>
    <s v="TH-21115"/>
    <s v="Thea Hudgings"/>
    <x v="1"/>
    <s v="United States"/>
    <x v="3"/>
    <x v="3"/>
    <x v="2"/>
    <s v="FUR-FU-10001847"/>
    <s v="Furniture"/>
    <x v="3"/>
    <s v="Eldon Image Series Black Desk Accessories"/>
    <n v="3.3119999999999998"/>
    <n v="1"/>
    <n v="0.66239999999999999"/>
    <x v="4"/>
    <x v="0"/>
  </r>
  <r>
    <s v="CA-2015-168529"/>
    <x v="643"/>
    <d v="2015-10-12T00:00:00"/>
    <x v="1"/>
    <s v="MB-17305"/>
    <s v="Maria Bertelson"/>
    <x v="0"/>
    <s v="United States"/>
    <x v="28"/>
    <x v="2"/>
    <x v="1"/>
    <s v="FUR-FU-10001588"/>
    <s v="Furniture"/>
    <x v="3"/>
    <s v="Deflect-o SuperTray Unbreakable Stackable Tray, Letter, Black"/>
    <n v="145.9"/>
    <n v="5"/>
    <n v="62.737000000000002"/>
    <x v="4"/>
    <x v="1"/>
  </r>
  <r>
    <s v="CA-2017-117667"/>
    <x v="423"/>
    <d v="2017-12-09T00:00:00"/>
    <x v="1"/>
    <s v="MS-17980"/>
    <s v="Michael Stewart"/>
    <x v="1"/>
    <s v="United States"/>
    <x v="3"/>
    <x v="3"/>
    <x v="2"/>
    <s v="FUR-CH-10004540"/>
    <s v="Furniture"/>
    <x v="1"/>
    <s v="Global Chrome Stack Chair"/>
    <n v="239.96"/>
    <n v="10"/>
    <n v="-10.284000000000001"/>
    <x v="2"/>
    <x v="5"/>
  </r>
  <r>
    <s v="CA-2017-117667"/>
    <x v="423"/>
    <d v="2017-12-09T00:00:00"/>
    <x v="1"/>
    <s v="MS-17980"/>
    <s v="Michael Stewart"/>
    <x v="1"/>
    <s v="United States"/>
    <x v="3"/>
    <x v="3"/>
    <x v="2"/>
    <s v="FUR-FU-10004093"/>
    <s v="Furniture"/>
    <x v="3"/>
    <s v="Hand-Finished Solid Wood Document Frame"/>
    <n v="54.768000000000001"/>
    <n v="2"/>
    <n v="6.8460000000000001"/>
    <x v="2"/>
    <x v="5"/>
  </r>
  <r>
    <s v="US-2017-150595"/>
    <x v="644"/>
    <d v="2017-05-26T00:00:00"/>
    <x v="1"/>
    <s v="LE-16810"/>
    <s v="Laurel Elliston"/>
    <x v="0"/>
    <s v="United States"/>
    <x v="9"/>
    <x v="8"/>
    <x v="3"/>
    <s v="FUR-CH-10000513"/>
    <s v="Furniture"/>
    <x v="1"/>
    <s v="High-Back Leather Manager's Chair"/>
    <n v="181.98599999999999"/>
    <n v="2"/>
    <n v="-54.595799999999997"/>
    <x v="4"/>
    <x v="7"/>
  </r>
  <r>
    <s v="CA-2016-134936"/>
    <x v="645"/>
    <d v="2016-12-25T00:00:00"/>
    <x v="1"/>
    <s v="ES-14080"/>
    <s v="Erin Smith"/>
    <x v="1"/>
    <s v="United States"/>
    <x v="104"/>
    <x v="22"/>
    <x v="1"/>
    <s v="FUR-TA-10001086"/>
    <s v="Furniture"/>
    <x v="2"/>
    <s v="SAFCO PlanMaster Boards, 60w x 37-1/2d, White Melamine"/>
    <n v="455.97"/>
    <n v="6"/>
    <n v="-218.8656"/>
    <x v="6"/>
    <x v="5"/>
  </r>
  <r>
    <s v="CA-2017-151008"/>
    <x v="87"/>
    <d v="2017-09-08T00:00:00"/>
    <x v="2"/>
    <s v="JM-16195"/>
    <s v="Justin MacKendrick"/>
    <x v="0"/>
    <s v="United States"/>
    <x v="275"/>
    <x v="4"/>
    <x v="1"/>
    <s v="FUR-FU-10002396"/>
    <s v="Furniture"/>
    <x v="3"/>
    <s v="DAX Copper Panel Document Frame, 5 x 7 Size"/>
    <n v="25.16"/>
    <n v="2"/>
    <n v="10.5672"/>
    <x v="5"/>
    <x v="4"/>
  </r>
  <r>
    <s v="US-2014-159618"/>
    <x v="352"/>
    <d v="2014-11-16T00:00:00"/>
    <x v="1"/>
    <s v="DB-12970"/>
    <s v="Darren Budd"/>
    <x v="1"/>
    <s v="United States"/>
    <x v="6"/>
    <x v="5"/>
    <x v="3"/>
    <s v="FUR-BO-10004467"/>
    <s v="Furniture"/>
    <x v="0"/>
    <s v="Bestar Classic Bookcase"/>
    <n v="67.993200000000002"/>
    <n v="1"/>
    <n v="-12.998699999999999"/>
    <x v="4"/>
    <x v="0"/>
  </r>
  <r>
    <s v="CA-2017-116113"/>
    <x v="125"/>
    <d v="2017-10-06T00:00:00"/>
    <x v="0"/>
    <s v="JW-15220"/>
    <s v="Jane Waco"/>
    <x v="1"/>
    <s v="United States"/>
    <x v="132"/>
    <x v="33"/>
    <x v="0"/>
    <s v="FUR-FU-10002963"/>
    <s v="Furniture"/>
    <x v="3"/>
    <s v="Master Caster Door Stop, Gray"/>
    <n v="10.16"/>
    <n v="2"/>
    <n v="3.4544000000000001"/>
    <x v="4"/>
    <x v="1"/>
  </r>
  <r>
    <s v="CA-2015-125066"/>
    <x v="646"/>
    <d v="2015-12-18T00:00:00"/>
    <x v="1"/>
    <s v="KD-16495"/>
    <s v="Keith Dawkins"/>
    <x v="1"/>
    <s v="United States"/>
    <x v="38"/>
    <x v="21"/>
    <x v="0"/>
    <s v="FUR-FU-10003829"/>
    <s v="Furniture"/>
    <x v="3"/>
    <s v="Stackable Trays"/>
    <n v="6.16"/>
    <n v="2"/>
    <n v="1.9712000000000001"/>
    <x v="4"/>
    <x v="5"/>
  </r>
  <r>
    <s v="CA-2017-157966"/>
    <x v="647"/>
    <d v="2017-03-13T00:00:00"/>
    <x v="3"/>
    <s v="SU-20665"/>
    <s v="Stephanie Ulpright"/>
    <x v="2"/>
    <s v="United States"/>
    <x v="9"/>
    <x v="8"/>
    <x v="3"/>
    <s v="FUR-CH-10003606"/>
    <s v="Furniture"/>
    <x v="1"/>
    <s v="SAFCO Folding Chair Trolley"/>
    <n v="89.768000000000001"/>
    <n v="1"/>
    <n v="-2.5648"/>
    <x v="7"/>
    <x v="9"/>
  </r>
  <r>
    <s v="CA-2016-136686"/>
    <x v="574"/>
    <d v="2016-12-16T00:00:00"/>
    <x v="1"/>
    <s v="RF-19840"/>
    <s v="Roy Franzšsisch"/>
    <x v="0"/>
    <s v="United States"/>
    <x v="102"/>
    <x v="2"/>
    <x v="1"/>
    <s v="FUR-FU-10004864"/>
    <s v="Furniture"/>
    <x v="3"/>
    <s v="Howard Miller 14-1/2&quot; Diameter Chrome Round Wall Clock"/>
    <n v="383.64"/>
    <n v="6"/>
    <n v="122.76479999999999"/>
    <x v="4"/>
    <x v="5"/>
  </r>
  <r>
    <s v="CA-2017-137498"/>
    <x v="198"/>
    <d v="2017-09-14T00:00:00"/>
    <x v="0"/>
    <s v="LC-17050"/>
    <s v="Liz Carlisle"/>
    <x v="0"/>
    <s v="United States"/>
    <x v="2"/>
    <x v="2"/>
    <x v="1"/>
    <s v="FUR-CH-10003833"/>
    <s v="Furniture"/>
    <x v="1"/>
    <s v="Novimex Fabric Task Chair"/>
    <n v="243.92"/>
    <n v="5"/>
    <n v="-15.244999999999999"/>
    <x v="2"/>
    <x v="4"/>
  </r>
  <r>
    <s v="CA-2017-163818"/>
    <x v="648"/>
    <d v="2017-10-08T00:00:00"/>
    <x v="1"/>
    <s v="PS-18970"/>
    <s v="Paul Stevenson"/>
    <x v="2"/>
    <s v="United States"/>
    <x v="218"/>
    <x v="32"/>
    <x v="2"/>
    <s v="FUR-FU-10000076"/>
    <s v="Furniture"/>
    <x v="3"/>
    <s v="24-Hour Round Wall Clock"/>
    <n v="19.98"/>
    <n v="1"/>
    <n v="8.5914000000000001"/>
    <x v="4"/>
    <x v="1"/>
  </r>
  <r>
    <s v="CA-2014-116673"/>
    <x v="256"/>
    <d v="2014-12-19T00:00:00"/>
    <x v="0"/>
    <s v="JO-15280"/>
    <s v="Jas O'Carroll"/>
    <x v="0"/>
    <s v="United States"/>
    <x v="53"/>
    <x v="2"/>
    <x v="1"/>
    <s v="FUR-FU-10003829"/>
    <s v="Furniture"/>
    <x v="3"/>
    <s v="Stackable Trays"/>
    <n v="6.16"/>
    <n v="2"/>
    <n v="1.9712000000000001"/>
    <x v="4"/>
    <x v="5"/>
  </r>
  <r>
    <s v="CA-2014-164742"/>
    <x v="137"/>
    <d v="2014-10-18T00:00:00"/>
    <x v="0"/>
    <s v="ML-17395"/>
    <s v="Marina Lichtenstein"/>
    <x v="1"/>
    <s v="United States"/>
    <x v="174"/>
    <x v="18"/>
    <x v="2"/>
    <s v="FUR-CH-10002880"/>
    <s v="Furniture"/>
    <x v="1"/>
    <s v="Global High-Back Leather Tilter, Burgundy"/>
    <n v="245.98"/>
    <n v="2"/>
    <n v="27.0578"/>
    <x v="2"/>
    <x v="1"/>
  </r>
  <r>
    <s v="CA-2016-134516"/>
    <x v="649"/>
    <d v="2016-09-25T00:00:00"/>
    <x v="1"/>
    <s v="FM-14215"/>
    <s v="Filia McAdams"/>
    <x v="1"/>
    <s v="United States"/>
    <x v="224"/>
    <x v="30"/>
    <x v="0"/>
    <s v="FUR-FU-10001546"/>
    <s v="Furniture"/>
    <x v="3"/>
    <s v="Dana Swing-Arm Lamps"/>
    <n v="17.088000000000001"/>
    <n v="2"/>
    <n v="1.0680000000000001"/>
    <x v="2"/>
    <x v="4"/>
  </r>
  <r>
    <s v="CA-2016-134516"/>
    <x v="649"/>
    <d v="2016-09-25T00:00:00"/>
    <x v="1"/>
    <s v="FM-14215"/>
    <s v="Filia McAdams"/>
    <x v="1"/>
    <s v="United States"/>
    <x v="224"/>
    <x v="30"/>
    <x v="0"/>
    <s v="FUR-CH-10002880"/>
    <s v="Furniture"/>
    <x v="1"/>
    <s v="Global High-Back Leather Tilter, Burgundy"/>
    <n v="98.391999999999996"/>
    <n v="1"/>
    <n v="-11.069100000000001"/>
    <x v="2"/>
    <x v="4"/>
  </r>
  <r>
    <s v="CA-2017-125745"/>
    <x v="254"/>
    <d v="2017-07-04T00:00:00"/>
    <x v="1"/>
    <s v="DV-13045"/>
    <s v="Darrin Van Huff"/>
    <x v="1"/>
    <s v="United States"/>
    <x v="10"/>
    <x v="9"/>
    <x v="0"/>
    <s v="FUR-FU-10001591"/>
    <s v="Furniture"/>
    <x v="3"/>
    <s v="Advantus Panel Wall Certificate Holder - 8.5x11"/>
    <n v="19.52"/>
    <n v="2"/>
    <n v="5.3680000000000003"/>
    <x v="4"/>
    <x v="2"/>
  </r>
  <r>
    <s v="US-2016-124163"/>
    <x v="228"/>
    <d v="2016-09-30T00:00:00"/>
    <x v="1"/>
    <s v="SC-20695"/>
    <s v="Steve Chapman"/>
    <x v="1"/>
    <s v="United States"/>
    <x v="276"/>
    <x v="16"/>
    <x v="3"/>
    <s v="FUR-CH-10004218"/>
    <s v="Furniture"/>
    <x v="1"/>
    <s v="Global Fabric Manager's Chair, Dark Gray"/>
    <n v="201.96"/>
    <n v="2"/>
    <n v="50.49"/>
    <x v="2"/>
    <x v="4"/>
  </r>
  <r>
    <s v="US-2016-124163"/>
    <x v="228"/>
    <d v="2016-09-30T00:00:00"/>
    <x v="1"/>
    <s v="SC-20695"/>
    <s v="Steve Chapman"/>
    <x v="1"/>
    <s v="United States"/>
    <x v="276"/>
    <x v="16"/>
    <x v="3"/>
    <s v="FUR-FU-10000755"/>
    <s v="Furniture"/>
    <x v="3"/>
    <s v="Eldon Expressions Mahogany Wood Desk Collection"/>
    <n v="68.64"/>
    <n v="11"/>
    <n v="17.16"/>
    <x v="2"/>
    <x v="4"/>
  </r>
  <r>
    <s v="CA-2014-126683"/>
    <x v="189"/>
    <d v="2014-10-01T00:00:00"/>
    <x v="0"/>
    <s v="PP-18955"/>
    <s v="Paul Prost"/>
    <x v="2"/>
    <s v="United States"/>
    <x v="15"/>
    <x v="13"/>
    <x v="1"/>
    <s v="FUR-FU-10001706"/>
    <s v="Furniture"/>
    <x v="3"/>
    <s v="Longer-Life Soft White Bulbs"/>
    <n v="6.16"/>
    <n v="2"/>
    <n v="2.9567999999999999"/>
    <x v="3"/>
    <x v="4"/>
  </r>
  <r>
    <s v="CA-2014-126683"/>
    <x v="189"/>
    <d v="2014-10-01T00:00:00"/>
    <x v="0"/>
    <s v="PP-18955"/>
    <s v="Paul Prost"/>
    <x v="2"/>
    <s v="United States"/>
    <x v="15"/>
    <x v="13"/>
    <x v="1"/>
    <s v="FUR-TA-10002958"/>
    <s v="Furniture"/>
    <x v="2"/>
    <s v="Bevis Oval Conference Table, Walnut"/>
    <n v="2348.8200000000002"/>
    <n v="9"/>
    <n v="399.29939999999999"/>
    <x v="3"/>
    <x v="4"/>
  </r>
  <r>
    <s v="CA-2017-148810"/>
    <x v="332"/>
    <d v="2017-07-01T00:00:00"/>
    <x v="1"/>
    <s v="DR-12880"/>
    <s v="Dan Reichenbach"/>
    <x v="1"/>
    <s v="United States"/>
    <x v="89"/>
    <x v="1"/>
    <x v="0"/>
    <s v="FUR-CH-10001545"/>
    <s v="Furniture"/>
    <x v="1"/>
    <s v="Hon Comfortask Task/Swivel Chairs"/>
    <n v="273.55200000000002"/>
    <n v="3"/>
    <n v="-13.6776"/>
    <x v="2"/>
    <x v="2"/>
  </r>
  <r>
    <s v="US-2016-146066"/>
    <x v="650"/>
    <d v="2016-08-23T00:00:00"/>
    <x v="0"/>
    <s v="RB-19465"/>
    <s v="Rick Bensley"/>
    <x v="2"/>
    <s v="United States"/>
    <x v="3"/>
    <x v="3"/>
    <x v="2"/>
    <s v="FUR-TA-10002530"/>
    <s v="Furniture"/>
    <x v="2"/>
    <s v="Iceberg OfficeWorks 42&quot; Round Tables"/>
    <n v="815.29200000000003"/>
    <n v="9"/>
    <n v="-339.70499999999998"/>
    <x v="3"/>
    <x v="10"/>
  </r>
  <r>
    <s v="CA-2014-127614"/>
    <x v="651"/>
    <d v="2014-02-15T00:00:00"/>
    <x v="1"/>
    <s v="NF-18385"/>
    <s v="Natalie Fritzler"/>
    <x v="0"/>
    <s v="United States"/>
    <x v="180"/>
    <x v="25"/>
    <x v="0"/>
    <s v="FUR-TA-10003715"/>
    <s v="Furniture"/>
    <x v="2"/>
    <s v="Hon 2111 Invitation Series Corner Table"/>
    <n v="1256.22"/>
    <n v="6"/>
    <n v="75.373199999999997"/>
    <x v="4"/>
    <x v="11"/>
  </r>
  <r>
    <s v="CA-2017-113208"/>
    <x v="292"/>
    <d v="2017-04-02T00:00:00"/>
    <x v="1"/>
    <s v="ML-18040"/>
    <s v="Michelle Lonsdale"/>
    <x v="1"/>
    <s v="United States"/>
    <x v="54"/>
    <x v="17"/>
    <x v="3"/>
    <s v="FUR-FU-10004245"/>
    <s v="Furniture"/>
    <x v="3"/>
    <s v="Career Cubicle Clock, 8 1/4&quot;, Black"/>
    <n v="60.84"/>
    <n v="3"/>
    <n v="23.119199999999999"/>
    <x v="1"/>
    <x v="9"/>
  </r>
  <r>
    <s v="CA-2014-154893"/>
    <x v="652"/>
    <d v="2014-12-27T00:00:00"/>
    <x v="1"/>
    <s v="GM-14440"/>
    <s v="Gary McGarr"/>
    <x v="0"/>
    <s v="United States"/>
    <x v="53"/>
    <x v="2"/>
    <x v="1"/>
    <s v="FUR-CH-10004287"/>
    <s v="Furniture"/>
    <x v="1"/>
    <s v="SAFCO Arco Folding Chair"/>
    <n v="1325.76"/>
    <n v="6"/>
    <n v="149.148"/>
    <x v="6"/>
    <x v="5"/>
  </r>
  <r>
    <s v="CA-2014-154893"/>
    <x v="652"/>
    <d v="2014-12-27T00:00:00"/>
    <x v="1"/>
    <s v="GM-14440"/>
    <s v="Gary McGarr"/>
    <x v="0"/>
    <s v="United States"/>
    <x v="53"/>
    <x v="2"/>
    <x v="1"/>
    <s v="FUR-CH-10000595"/>
    <s v="Furniture"/>
    <x v="1"/>
    <s v="Safco Contoured Stacking Chairs"/>
    <n v="572.16"/>
    <n v="3"/>
    <n v="35.76"/>
    <x v="6"/>
    <x v="5"/>
  </r>
  <r>
    <s v="CA-2016-127985"/>
    <x v="610"/>
    <d v="2016-04-05T00:00:00"/>
    <x v="0"/>
    <s v="DB-12910"/>
    <s v="Daniel Byrd"/>
    <x v="2"/>
    <s v="United States"/>
    <x v="29"/>
    <x v="24"/>
    <x v="0"/>
    <s v="FUR-FU-10003274"/>
    <s v="Furniture"/>
    <x v="3"/>
    <s v="Regeneration Desk Collection"/>
    <n v="7.04"/>
    <n v="4"/>
    <n v="3.0975999999999999"/>
    <x v="4"/>
    <x v="6"/>
  </r>
  <r>
    <s v="CA-2017-127117"/>
    <x v="438"/>
    <d v="2017-04-19T00:00:00"/>
    <x v="1"/>
    <s v="HM-14860"/>
    <s v="Harry Marie"/>
    <x v="1"/>
    <s v="United States"/>
    <x v="277"/>
    <x v="18"/>
    <x v="2"/>
    <s v="FUR-FU-10004018"/>
    <s v="Furniture"/>
    <x v="3"/>
    <s v="Tensor Computer Mounted Lamp"/>
    <n v="74.45"/>
    <n v="5"/>
    <n v="20.101500000000001"/>
    <x v="2"/>
    <x v="6"/>
  </r>
  <r>
    <s v="CA-2015-104241"/>
    <x v="653"/>
    <d v="2015-01-09T00:00:00"/>
    <x v="1"/>
    <s v="AG-10495"/>
    <s v="Andrew Gjertsen"/>
    <x v="1"/>
    <s v="United States"/>
    <x v="166"/>
    <x v="25"/>
    <x v="0"/>
    <s v="FUR-FU-10001473"/>
    <s v="Furniture"/>
    <x v="3"/>
    <s v="DAX Wood Document Frame"/>
    <n v="192.22"/>
    <n v="14"/>
    <n v="69.199200000000005"/>
    <x v="2"/>
    <x v="8"/>
  </r>
  <r>
    <s v="CA-2017-142342"/>
    <x v="357"/>
    <d v="2017-07-19T00:00:00"/>
    <x v="0"/>
    <s v="AJ-10795"/>
    <s v="Anthony Johnson"/>
    <x v="1"/>
    <s v="United States"/>
    <x v="278"/>
    <x v="2"/>
    <x v="1"/>
    <s v="FUR-BO-10002613"/>
    <s v="Furniture"/>
    <x v="0"/>
    <s v="Atlantic Metals Mobile 4-Shelf Bookcases, Custom Colors"/>
    <n v="1194.165"/>
    <n v="5"/>
    <n v="210.73500000000001"/>
    <x v="3"/>
    <x v="3"/>
  </r>
  <r>
    <s v="CA-2016-145261"/>
    <x v="105"/>
    <d v="2016-12-21T00:00:00"/>
    <x v="2"/>
    <s v="AH-10120"/>
    <s v="Adrian Hane"/>
    <x v="2"/>
    <s v="United States"/>
    <x v="279"/>
    <x v="36"/>
    <x v="1"/>
    <s v="FUR-TA-10002530"/>
    <s v="Furniture"/>
    <x v="2"/>
    <s v="Iceberg OfficeWorks 42&quot; Round Tables"/>
    <n v="377.45"/>
    <n v="5"/>
    <n v="-264.21499999999997"/>
    <x v="0"/>
    <x v="5"/>
  </r>
  <r>
    <s v="CA-2016-108875"/>
    <x v="211"/>
    <d v="2016-10-01T00:00:00"/>
    <x v="1"/>
    <s v="CL-12700"/>
    <s v="Craig Leslie"/>
    <x v="2"/>
    <s v="United States"/>
    <x v="14"/>
    <x v="12"/>
    <x v="1"/>
    <s v="FUR-FU-10002671"/>
    <s v="Furniture"/>
    <x v="3"/>
    <s v="Electrix 20W Halogen Replacement Bulb for Zoom-In Desk Lamp"/>
    <n v="21.44"/>
    <n v="2"/>
    <n v="7.5039999999999996"/>
    <x v="1"/>
    <x v="4"/>
  </r>
  <r>
    <s v="CA-2015-141012"/>
    <x v="654"/>
    <d v="2015-06-11T00:00:00"/>
    <x v="0"/>
    <s v="TG-21640"/>
    <s v="Trudy Glocke"/>
    <x v="0"/>
    <s v="United States"/>
    <x v="280"/>
    <x v="42"/>
    <x v="1"/>
    <s v="FUR-FU-10003192"/>
    <s v="Furniture"/>
    <x v="3"/>
    <s v="Luxo Adjustable Task Clamp Lamp"/>
    <n v="355.36"/>
    <n v="4"/>
    <n v="92.393600000000006"/>
    <x v="3"/>
    <x v="2"/>
  </r>
  <r>
    <s v="CA-2014-126802"/>
    <x v="527"/>
    <d v="2015-01-05T00:00:00"/>
    <x v="1"/>
    <s v="ZC-21910"/>
    <s v="Zuschuss Carroll"/>
    <x v="0"/>
    <s v="United States"/>
    <x v="9"/>
    <x v="8"/>
    <x v="3"/>
    <s v="FUR-FU-10000193"/>
    <s v="Furniture"/>
    <x v="3"/>
    <s v="Tenex Chairmats For Use with Hard Floors"/>
    <n v="38.975999999999999"/>
    <n v="3"/>
    <n v="-50.668799999999997"/>
    <x v="1"/>
    <x v="5"/>
  </r>
  <r>
    <s v="CA-2014-131541"/>
    <x v="655"/>
    <d v="2014-07-28T00:00:00"/>
    <x v="3"/>
    <s v="CK-12205"/>
    <s v="Chloris Kastensmidt"/>
    <x v="0"/>
    <s v="United States"/>
    <x v="281"/>
    <x v="1"/>
    <x v="0"/>
    <s v="FUR-FU-10003623"/>
    <s v="Furniture"/>
    <x v="3"/>
    <s v="DataProducts Ampli Magnifier Task Lamp, Black,"/>
    <n v="129.88800000000001"/>
    <n v="6"/>
    <n v="12.988799999999999"/>
    <x v="7"/>
    <x v="3"/>
  </r>
  <r>
    <s v="CA-2015-119550"/>
    <x v="626"/>
    <d v="2015-12-31T00:00:00"/>
    <x v="1"/>
    <s v="RB-19705"/>
    <s v="Roger Barcio"/>
    <x v="2"/>
    <s v="United States"/>
    <x v="6"/>
    <x v="5"/>
    <x v="3"/>
    <s v="FUR-CH-10002044"/>
    <s v="Furniture"/>
    <x v="1"/>
    <s v="Office Star - Contemporary Task Swivel chair with 2-way adjustable arms, Plum"/>
    <n v="275.05799999999999"/>
    <n v="3"/>
    <n v="-90.376199999999997"/>
    <x v="2"/>
    <x v="5"/>
  </r>
  <r>
    <s v="US-2015-138093"/>
    <x v="479"/>
    <d v="2015-12-16T00:00:00"/>
    <x v="1"/>
    <s v="KM-16225"/>
    <s v="Kalyca Meade"/>
    <x v="1"/>
    <s v="United States"/>
    <x v="237"/>
    <x v="32"/>
    <x v="2"/>
    <s v="FUR-CH-10000785"/>
    <s v="Furniture"/>
    <x v="1"/>
    <s v="Global Ergonomic Managers Chair"/>
    <n v="542.94000000000005"/>
    <n v="3"/>
    <n v="141.1644"/>
    <x v="6"/>
    <x v="5"/>
  </r>
  <r>
    <s v="CA-2016-126165"/>
    <x v="399"/>
    <d v="2016-05-07T00:00:00"/>
    <x v="0"/>
    <s v="AH-10465"/>
    <s v="Amy Hunt"/>
    <x v="0"/>
    <s v="United States"/>
    <x v="28"/>
    <x v="2"/>
    <x v="1"/>
    <s v="FUR-TA-10001676"/>
    <s v="Furniture"/>
    <x v="2"/>
    <s v="Hon 61000 Series Interactive Training Tables"/>
    <n v="71.087999999999994"/>
    <n v="2"/>
    <n v="-1.7771999999999999"/>
    <x v="3"/>
    <x v="7"/>
  </r>
  <r>
    <s v="US-2014-123519"/>
    <x v="609"/>
    <d v="2014-12-21T00:00:00"/>
    <x v="1"/>
    <s v="SS-20875"/>
    <s v="Sung Shariari"/>
    <x v="0"/>
    <s v="United States"/>
    <x v="149"/>
    <x v="15"/>
    <x v="2"/>
    <s v="FUR-TA-10002645"/>
    <s v="Furniture"/>
    <x v="2"/>
    <s v="Hon Rectangular Conference Tables"/>
    <n v="136.53"/>
    <n v="1"/>
    <n v="-52.336500000000001"/>
    <x v="1"/>
    <x v="5"/>
  </r>
  <r>
    <s v="US-2015-160857"/>
    <x v="190"/>
    <d v="2015-05-15T00:00:00"/>
    <x v="1"/>
    <s v="NW-18400"/>
    <s v="Natalie Webber"/>
    <x v="0"/>
    <s v="United States"/>
    <x v="13"/>
    <x v="7"/>
    <x v="2"/>
    <s v="FUR-FU-10001095"/>
    <s v="Furniture"/>
    <x v="3"/>
    <s v="DAX Black Cherry Wood-Tone Poster Frame"/>
    <n v="79.44"/>
    <n v="3"/>
    <n v="30.187200000000001"/>
    <x v="1"/>
    <x v="7"/>
  </r>
  <r>
    <s v="US-2015-160857"/>
    <x v="190"/>
    <d v="2015-05-15T00:00:00"/>
    <x v="1"/>
    <s v="NW-18400"/>
    <s v="Natalie Webber"/>
    <x v="0"/>
    <s v="United States"/>
    <x v="13"/>
    <x v="7"/>
    <x v="2"/>
    <s v="FUR-CH-10002647"/>
    <s v="Furniture"/>
    <x v="1"/>
    <s v="Situations Contoured Folding Chairs, 4/Set"/>
    <n v="127.764"/>
    <n v="2"/>
    <n v="21.294"/>
    <x v="1"/>
    <x v="7"/>
  </r>
  <r>
    <s v="CA-2017-117324"/>
    <x v="64"/>
    <d v="2017-12-13T00:00:00"/>
    <x v="1"/>
    <s v="JP-15520"/>
    <s v="Jeremy Pistek"/>
    <x v="0"/>
    <s v="United States"/>
    <x v="123"/>
    <x v="16"/>
    <x v="3"/>
    <s v="FUR-BO-10003159"/>
    <s v="Furniture"/>
    <x v="0"/>
    <s v="Sauder Camden County Collection Libraries, Planked Cherry Finish"/>
    <n v="459.92"/>
    <n v="4"/>
    <n v="41.392800000000001"/>
    <x v="2"/>
    <x v="5"/>
  </r>
  <r>
    <s v="CA-2017-143574"/>
    <x v="656"/>
    <d v="2017-07-02T00:00:00"/>
    <x v="2"/>
    <s v="DR-12880"/>
    <s v="Dan Reichenbach"/>
    <x v="1"/>
    <s v="United States"/>
    <x v="282"/>
    <x v="19"/>
    <x v="2"/>
    <s v="FUR-BO-10002598"/>
    <s v="Furniture"/>
    <x v="0"/>
    <s v="Hon Metal Bookcases, Putty"/>
    <n v="638.82000000000005"/>
    <n v="9"/>
    <n v="185.2578"/>
    <x v="0"/>
    <x v="2"/>
  </r>
  <r>
    <s v="CA-2017-143574"/>
    <x v="656"/>
    <d v="2017-07-02T00:00:00"/>
    <x v="2"/>
    <s v="DR-12880"/>
    <s v="Dan Reichenbach"/>
    <x v="1"/>
    <s v="United States"/>
    <x v="282"/>
    <x v="19"/>
    <x v="2"/>
    <s v="FUR-FU-10003976"/>
    <s v="Furniture"/>
    <x v="3"/>
    <s v="DAX Executive Solid Wood Document Frame, Desktop or Hang, Mahogany, 5 x 7"/>
    <n v="25.16"/>
    <n v="2"/>
    <n v="8.5543999999999993"/>
    <x v="0"/>
    <x v="2"/>
  </r>
  <r>
    <s v="CA-2014-148614"/>
    <x v="187"/>
    <d v="2014-01-25T00:00:00"/>
    <x v="1"/>
    <s v="MV-17485"/>
    <s v="Mark Van Huff"/>
    <x v="0"/>
    <s v="United States"/>
    <x v="2"/>
    <x v="2"/>
    <x v="1"/>
    <s v="FUR-FU-10003194"/>
    <s v="Furniture"/>
    <x v="3"/>
    <s v="Eldon Expressions Desk Accessory, Wood Pencil Holder, Oak"/>
    <n v="19.3"/>
    <n v="2"/>
    <n v="5.79"/>
    <x v="2"/>
    <x v="8"/>
  </r>
  <r>
    <s v="US-2017-147886"/>
    <x v="657"/>
    <d v="2017-03-31T00:00:00"/>
    <x v="2"/>
    <s v="DH-13075"/>
    <s v="Dave Hallsten"/>
    <x v="1"/>
    <s v="United States"/>
    <x v="130"/>
    <x v="2"/>
    <x v="1"/>
    <s v="FUR-FU-10001095"/>
    <s v="Furniture"/>
    <x v="3"/>
    <s v="DAX Black Cherry Wood-Tone Poster Frame"/>
    <n v="26.48"/>
    <n v="1"/>
    <n v="10.0624"/>
    <x v="0"/>
    <x v="9"/>
  </r>
  <r>
    <s v="US-2017-147886"/>
    <x v="657"/>
    <d v="2017-03-31T00:00:00"/>
    <x v="2"/>
    <s v="DH-13075"/>
    <s v="Dave Hallsten"/>
    <x v="1"/>
    <s v="United States"/>
    <x v="130"/>
    <x v="2"/>
    <x v="1"/>
    <s v="FUR-FU-10003829"/>
    <s v="Furniture"/>
    <x v="3"/>
    <s v="Stackable Trays"/>
    <n v="21.56"/>
    <n v="7"/>
    <n v="6.8992000000000004"/>
    <x v="0"/>
    <x v="9"/>
  </r>
  <r>
    <s v="CA-2014-145800"/>
    <x v="658"/>
    <d v="2014-06-05T00:00:00"/>
    <x v="1"/>
    <s v="SS-20410"/>
    <s v="Shahid Shariari"/>
    <x v="0"/>
    <s v="United States"/>
    <x v="283"/>
    <x v="8"/>
    <x v="3"/>
    <s v="FUR-TA-10001539"/>
    <s v="Furniture"/>
    <x v="2"/>
    <s v="Chromcraft Rectangular Conference Tables"/>
    <n v="355.45499999999998"/>
    <n v="3"/>
    <n v="-184.8366"/>
    <x v="6"/>
    <x v="7"/>
  </r>
  <r>
    <s v="CA-2016-118514"/>
    <x v="659"/>
    <d v="2016-02-10T00:00:00"/>
    <x v="1"/>
    <s v="LC-17050"/>
    <s v="Liz Carlisle"/>
    <x v="0"/>
    <s v="United States"/>
    <x v="52"/>
    <x v="0"/>
    <x v="0"/>
    <s v="FUR-CH-10000015"/>
    <s v="Furniture"/>
    <x v="1"/>
    <s v="Hon Multipurpose Stacking Arm Chairs"/>
    <n v="866.4"/>
    <n v="4"/>
    <n v="225.26400000000001"/>
    <x v="1"/>
    <x v="11"/>
  </r>
  <r>
    <s v="CA-2015-119634"/>
    <x v="660"/>
    <d v="2015-08-16T00:00:00"/>
    <x v="1"/>
    <s v="BW-11065"/>
    <s v="Barry Weirich"/>
    <x v="0"/>
    <s v="United States"/>
    <x v="168"/>
    <x v="30"/>
    <x v="0"/>
    <s v="FUR-FU-10004270"/>
    <s v="Furniture"/>
    <x v="3"/>
    <s v="Executive Impressions 13&quot; Clairmont Wall Clock"/>
    <n v="46.152000000000001"/>
    <n v="3"/>
    <n v="12.1149"/>
    <x v="2"/>
    <x v="10"/>
  </r>
  <r>
    <s v="CA-2017-158169"/>
    <x v="661"/>
    <d v="2017-08-15T00:00:00"/>
    <x v="2"/>
    <s v="JM-16195"/>
    <s v="Justin MacKendrick"/>
    <x v="0"/>
    <s v="United States"/>
    <x v="284"/>
    <x v="2"/>
    <x v="1"/>
    <s v="FUR-FU-10001473"/>
    <s v="Furniture"/>
    <x v="3"/>
    <s v="DAX Wood Document Frame"/>
    <n v="54.92"/>
    <n v="4"/>
    <n v="19.7712"/>
    <x v="0"/>
    <x v="10"/>
  </r>
  <r>
    <s v="CA-2015-162047"/>
    <x v="240"/>
    <d v="2015-11-05T00:00:00"/>
    <x v="2"/>
    <s v="FH-14365"/>
    <s v="Fred Hopkins"/>
    <x v="1"/>
    <s v="United States"/>
    <x v="62"/>
    <x v="7"/>
    <x v="2"/>
    <s v="FUR-CH-10004983"/>
    <s v="Furniture"/>
    <x v="1"/>
    <s v="Office Star - Mid Back Dual function Ergonomic High Back Chair with 2-Way Adjustable Arms"/>
    <n v="1448.82"/>
    <n v="10"/>
    <n v="209.274"/>
    <x v="3"/>
    <x v="0"/>
  </r>
  <r>
    <s v="CA-2015-103835"/>
    <x v="262"/>
    <d v="2015-09-28T00:00:00"/>
    <x v="1"/>
    <s v="SC-20440"/>
    <s v="Shaun Chance"/>
    <x v="1"/>
    <s v="United States"/>
    <x v="2"/>
    <x v="2"/>
    <x v="1"/>
    <s v="FUR-FU-10000010"/>
    <s v="Furniture"/>
    <x v="3"/>
    <s v="DAX Value U-Channel Document Frames, Easel Back"/>
    <n v="14.91"/>
    <n v="3"/>
    <n v="4.6220999999999997"/>
    <x v="4"/>
    <x v="4"/>
  </r>
  <r>
    <s v="CA-2016-142398"/>
    <x v="188"/>
    <d v="2016-04-16T00:00:00"/>
    <x v="1"/>
    <s v="BP-11290"/>
    <s v="Beth Paige"/>
    <x v="0"/>
    <s v="United States"/>
    <x v="2"/>
    <x v="2"/>
    <x v="1"/>
    <s v="FUR-CH-10001545"/>
    <s v="Furniture"/>
    <x v="1"/>
    <s v="Hon Comfortask Task/Swivel Chairs"/>
    <n v="638.28800000000001"/>
    <n v="7"/>
    <n v="-31.914400000000001"/>
    <x v="4"/>
    <x v="6"/>
  </r>
  <r>
    <s v="CA-2014-105270"/>
    <x v="163"/>
    <d v="2014-11-18T00:00:00"/>
    <x v="1"/>
    <s v="AP-10915"/>
    <s v="Arthur Prichep"/>
    <x v="0"/>
    <s v="United States"/>
    <x v="2"/>
    <x v="2"/>
    <x v="1"/>
    <s v="FUR-CH-10000988"/>
    <s v="Furniture"/>
    <x v="1"/>
    <s v="Hon Olson Stacker Stools"/>
    <n v="112.648"/>
    <n v="1"/>
    <n v="11.264799999999999"/>
    <x v="1"/>
    <x v="0"/>
  </r>
  <r>
    <s v="CA-2017-141117"/>
    <x v="125"/>
    <d v="2017-10-08T00:00:00"/>
    <x v="1"/>
    <s v="JK-16090"/>
    <s v="Juliana Krohn"/>
    <x v="0"/>
    <s v="United States"/>
    <x v="76"/>
    <x v="36"/>
    <x v="1"/>
    <s v="FUR-BO-10001972"/>
    <s v="Furniture"/>
    <x v="0"/>
    <s v="O'Sullivan 4-Shelf Bookcase in Odessa Pine"/>
    <n v="217.76400000000001"/>
    <n v="6"/>
    <n v="-384.71640000000002"/>
    <x v="6"/>
    <x v="1"/>
  </r>
  <r>
    <s v="CA-2017-115070"/>
    <x v="662"/>
    <d v="2017-04-14T00:00:00"/>
    <x v="0"/>
    <s v="MG-18205"/>
    <s v="Mitch Gastineau"/>
    <x v="1"/>
    <s v="United States"/>
    <x v="51"/>
    <x v="1"/>
    <x v="0"/>
    <s v="FUR-FU-10003829"/>
    <s v="Furniture"/>
    <x v="3"/>
    <s v="Stackable Trays"/>
    <n v="12.32"/>
    <n v="5"/>
    <n v="1.8480000000000001"/>
    <x v="4"/>
    <x v="6"/>
  </r>
  <r>
    <s v="CA-2017-140186"/>
    <x v="560"/>
    <d v="2017-10-02T00:00:00"/>
    <x v="2"/>
    <s v="PG-18820"/>
    <s v="Patrick Gardner"/>
    <x v="0"/>
    <s v="United States"/>
    <x v="175"/>
    <x v="2"/>
    <x v="1"/>
    <s v="FUR-CH-10002961"/>
    <s v="Furniture"/>
    <x v="1"/>
    <s v="Leather Task Chair, Black"/>
    <n v="72.784000000000006"/>
    <n v="1"/>
    <n v="0"/>
    <x v="0"/>
    <x v="4"/>
  </r>
  <r>
    <s v="CA-2017-140186"/>
    <x v="560"/>
    <d v="2017-10-02T00:00:00"/>
    <x v="2"/>
    <s v="PG-18820"/>
    <s v="Patrick Gardner"/>
    <x v="0"/>
    <s v="United States"/>
    <x v="175"/>
    <x v="2"/>
    <x v="1"/>
    <s v="FUR-FU-10004848"/>
    <s v="Furniture"/>
    <x v="3"/>
    <s v="Howard Miller 13-3/4&quot; Diameter Brushed Chrome Round Wall Clock"/>
    <n v="51.75"/>
    <n v="1"/>
    <n v="15.525"/>
    <x v="0"/>
    <x v="4"/>
  </r>
  <r>
    <s v="CA-2014-124856"/>
    <x v="189"/>
    <d v="2014-10-03T00:00:00"/>
    <x v="0"/>
    <s v="LD-17005"/>
    <s v="Lisa DeCherney"/>
    <x v="0"/>
    <s v="United States"/>
    <x v="13"/>
    <x v="7"/>
    <x v="2"/>
    <s v="FUR-FU-10000521"/>
    <s v="Furniture"/>
    <x v="3"/>
    <s v="Seth Thomas 14&quot; Putty-Colored Wall Clock"/>
    <n v="117.36"/>
    <n v="4"/>
    <n v="36.381599999999999"/>
    <x v="4"/>
    <x v="4"/>
  </r>
  <r>
    <s v="CA-2014-166716"/>
    <x v="663"/>
    <d v="2014-08-25T00:00:00"/>
    <x v="0"/>
    <s v="CR-12730"/>
    <s v="Craig Reiter"/>
    <x v="0"/>
    <s v="United States"/>
    <x v="9"/>
    <x v="8"/>
    <x v="3"/>
    <s v="FUR-CH-10004495"/>
    <s v="Furniture"/>
    <x v="1"/>
    <s v="Global Leather and Oak Executive Chair, Black"/>
    <n v="421.37200000000001"/>
    <n v="2"/>
    <n v="-6.0195999999999996"/>
    <x v="2"/>
    <x v="10"/>
  </r>
  <r>
    <s v="CA-2017-113873"/>
    <x v="596"/>
    <d v="2017-11-19T00:00:00"/>
    <x v="1"/>
    <s v="KE-16420"/>
    <s v="Katrina Edelman"/>
    <x v="1"/>
    <s v="United States"/>
    <x v="144"/>
    <x v="5"/>
    <x v="3"/>
    <s v="FUR-BO-10003441"/>
    <s v="Furniture"/>
    <x v="0"/>
    <s v="Bush Westfield Collection Bookcases, Fully Assembled"/>
    <n v="205.9992"/>
    <n v="3"/>
    <n v="-27.264600000000002"/>
    <x v="6"/>
    <x v="0"/>
  </r>
  <r>
    <s v="CA-2016-125017"/>
    <x v="664"/>
    <d v="2016-02-11T00:00:00"/>
    <x v="1"/>
    <s v="KB-16240"/>
    <s v="Karen Bern"/>
    <x v="1"/>
    <s v="United States"/>
    <x v="196"/>
    <x v="9"/>
    <x v="0"/>
    <s v="FUR-FU-10000723"/>
    <s v="Furniture"/>
    <x v="3"/>
    <s v="Deflect-o EconoMat Studded, No Bevel Mat for Low Pile Carpeting"/>
    <n v="132.22399999999999"/>
    <n v="4"/>
    <n v="-18.180800000000001"/>
    <x v="2"/>
    <x v="11"/>
  </r>
  <r>
    <s v="US-2015-163279"/>
    <x v="665"/>
    <d v="2015-03-26T00:00:00"/>
    <x v="1"/>
    <s v="JD-16150"/>
    <s v="Justin Deggeller"/>
    <x v="1"/>
    <s v="United States"/>
    <x v="53"/>
    <x v="2"/>
    <x v="1"/>
    <s v="FUR-FU-10000747"/>
    <s v="Furniture"/>
    <x v="3"/>
    <s v="Tenex B1-RE Series Chair Mats for Low Pile Carpets"/>
    <n v="91.96"/>
    <n v="2"/>
    <n v="15.6332"/>
    <x v="4"/>
    <x v="9"/>
  </r>
  <r>
    <s v="CA-2017-117632"/>
    <x v="666"/>
    <d v="2017-05-18T00:00:00"/>
    <x v="1"/>
    <s v="CS-12175"/>
    <s v="Charles Sheldon"/>
    <x v="1"/>
    <s v="United States"/>
    <x v="28"/>
    <x v="2"/>
    <x v="1"/>
    <s v="FUR-TA-10001520"/>
    <s v="Furniture"/>
    <x v="2"/>
    <s v="Lesro Sheffield Collection Coffee Table, End Table, Center Table, Corner Table"/>
    <n v="285.48"/>
    <n v="5"/>
    <n v="-10.705500000000001"/>
    <x v="6"/>
    <x v="7"/>
  </r>
  <r>
    <s v="CA-2017-161067"/>
    <x v="667"/>
    <d v="2017-09-06T00:00:00"/>
    <x v="0"/>
    <s v="KB-16405"/>
    <s v="Katrina Bavinger"/>
    <x v="2"/>
    <s v="United States"/>
    <x v="13"/>
    <x v="7"/>
    <x v="2"/>
    <s v="FUR-CH-10004626"/>
    <s v="Furniture"/>
    <x v="1"/>
    <s v="Office Star Flex Back Scooter Chair with Aluminum Finish Frame"/>
    <n v="90.801000000000002"/>
    <n v="1"/>
    <n v="14.124599999999999"/>
    <x v="0"/>
    <x v="4"/>
  </r>
  <r>
    <s v="CA-2017-161067"/>
    <x v="667"/>
    <d v="2017-09-06T00:00:00"/>
    <x v="0"/>
    <s v="KB-16405"/>
    <s v="Katrina Bavinger"/>
    <x v="2"/>
    <s v="United States"/>
    <x v="13"/>
    <x v="7"/>
    <x v="2"/>
    <s v="FUR-CH-10004860"/>
    <s v="Furniture"/>
    <x v="1"/>
    <s v="Global Low Back Tilter Chair"/>
    <n v="181.76400000000001"/>
    <n v="2"/>
    <n v="-8.0784000000000002"/>
    <x v="0"/>
    <x v="4"/>
  </r>
  <r>
    <s v="CA-2016-122063"/>
    <x v="122"/>
    <d v="2016-12-07T00:00:00"/>
    <x v="1"/>
    <s v="MM-17920"/>
    <s v="Michael Moore"/>
    <x v="0"/>
    <s v="United States"/>
    <x v="52"/>
    <x v="6"/>
    <x v="3"/>
    <s v="FUR-TA-10004575"/>
    <s v="Furniture"/>
    <x v="2"/>
    <s v="Hon 5100 Series Wood Tables"/>
    <n v="581.96"/>
    <n v="2"/>
    <n v="104.75279999999999"/>
    <x v="4"/>
    <x v="5"/>
  </r>
  <r>
    <s v="CA-2016-122063"/>
    <x v="122"/>
    <d v="2016-12-07T00:00:00"/>
    <x v="1"/>
    <s v="MM-17920"/>
    <s v="Michael Moore"/>
    <x v="0"/>
    <s v="United States"/>
    <x v="52"/>
    <x v="6"/>
    <x v="3"/>
    <s v="FUR-CH-10004754"/>
    <s v="Furniture"/>
    <x v="1"/>
    <s v="Global Stack Chair with Arms, Black"/>
    <n v="29.98"/>
    <n v="1"/>
    <n v="8.0945999999999998"/>
    <x v="4"/>
    <x v="5"/>
  </r>
  <r>
    <s v="CA-2016-142895"/>
    <x v="668"/>
    <d v="2016-07-26T00:00:00"/>
    <x v="1"/>
    <s v="BP-11290"/>
    <s v="Beth Paige"/>
    <x v="0"/>
    <s v="United States"/>
    <x v="41"/>
    <x v="30"/>
    <x v="0"/>
    <s v="FUR-CH-10002961"/>
    <s v="Furniture"/>
    <x v="1"/>
    <s v="Leather Task Chair, Black"/>
    <n v="363.92"/>
    <n v="5"/>
    <n v="0"/>
    <x v="2"/>
    <x v="3"/>
  </r>
  <r>
    <s v="CA-2015-134992"/>
    <x v="159"/>
    <d v="2015-09-26T00:00:00"/>
    <x v="0"/>
    <s v="MG-17875"/>
    <s v="Michael Grace"/>
    <x v="2"/>
    <s v="United States"/>
    <x v="58"/>
    <x v="25"/>
    <x v="0"/>
    <s v="FUR-FU-10002554"/>
    <s v="Furniture"/>
    <x v="3"/>
    <s v="Westinghouse Floor Lamp with Metal Mesh Shade, Black"/>
    <n v="47.98"/>
    <n v="2"/>
    <n v="11.035399999999999"/>
    <x v="4"/>
    <x v="4"/>
  </r>
  <r>
    <s v="CA-2015-126725"/>
    <x v="669"/>
    <d v="2015-11-21T00:00:00"/>
    <x v="1"/>
    <s v="BS-11665"/>
    <s v="Brian Stugart"/>
    <x v="0"/>
    <s v="United States"/>
    <x v="53"/>
    <x v="2"/>
    <x v="1"/>
    <s v="FUR-FU-10002813"/>
    <s v="Furniture"/>
    <x v="3"/>
    <s v="DAX Contemporary Wood Frame with Silver Metal Mat, Desktop, 11 x 14 Size"/>
    <n v="80.959999999999994"/>
    <n v="4"/>
    <n v="29.145600000000002"/>
    <x v="4"/>
    <x v="0"/>
  </r>
  <r>
    <s v="CA-2015-126725"/>
    <x v="669"/>
    <d v="2015-11-21T00:00:00"/>
    <x v="1"/>
    <s v="BS-11665"/>
    <s v="Brian Stugart"/>
    <x v="0"/>
    <s v="United States"/>
    <x v="53"/>
    <x v="2"/>
    <x v="1"/>
    <s v="FUR-CH-10001708"/>
    <s v="Furniture"/>
    <x v="1"/>
    <s v="Office Star - Contemporary Swivel Chair with Padded Adjustable Arms and Flex Back"/>
    <n v="225.56800000000001"/>
    <n v="2"/>
    <n v="2.8195999999999999"/>
    <x v="4"/>
    <x v="0"/>
  </r>
  <r>
    <s v="CA-2015-126725"/>
    <x v="669"/>
    <d v="2015-11-21T00:00:00"/>
    <x v="1"/>
    <s v="BS-11665"/>
    <s v="Brian Stugart"/>
    <x v="0"/>
    <s v="United States"/>
    <x v="53"/>
    <x v="2"/>
    <x v="1"/>
    <s v="FUR-FU-10001591"/>
    <s v="Furniture"/>
    <x v="3"/>
    <s v="Advantus Panel Wall Certificate Holder - 8.5x11"/>
    <n v="36.6"/>
    <n v="3"/>
    <n v="15.372"/>
    <x v="4"/>
    <x v="0"/>
  </r>
  <r>
    <s v="CA-2015-121783"/>
    <x v="670"/>
    <d v="2015-11-14T00:00:00"/>
    <x v="1"/>
    <s v="PO-19180"/>
    <s v="Philisse Overcash"/>
    <x v="2"/>
    <s v="United States"/>
    <x v="18"/>
    <x v="11"/>
    <x v="3"/>
    <s v="FUR-FU-10004351"/>
    <s v="Furniture"/>
    <x v="3"/>
    <s v="Staple-based wall hangings"/>
    <n v="29.22"/>
    <n v="3"/>
    <n v="12.8568"/>
    <x v="4"/>
    <x v="0"/>
  </r>
  <r>
    <s v="CA-2015-112214"/>
    <x v="671"/>
    <d v="2015-08-11T00:00:00"/>
    <x v="1"/>
    <s v="AH-10690"/>
    <s v="Anna HŠberlin"/>
    <x v="1"/>
    <s v="United States"/>
    <x v="144"/>
    <x v="5"/>
    <x v="3"/>
    <s v="FUR-FU-10002364"/>
    <s v="Furniture"/>
    <x v="3"/>
    <s v="Eldon Expressions Wood Desk Accessories, Oak"/>
    <n v="14.76"/>
    <n v="5"/>
    <n v="-11.439"/>
    <x v="6"/>
    <x v="10"/>
  </r>
  <r>
    <s v="US-2017-153255"/>
    <x v="667"/>
    <d v="2017-09-07T00:00:00"/>
    <x v="0"/>
    <s v="JK-15730"/>
    <s v="Joe Kamberova"/>
    <x v="0"/>
    <s v="United States"/>
    <x v="41"/>
    <x v="2"/>
    <x v="1"/>
    <s v="FUR-BO-10004218"/>
    <s v="Furniture"/>
    <x v="0"/>
    <s v="Bush Heritage Pine Collection 5-Shelf Bookcase, Albany Pine Finish, *Special Order"/>
    <n v="239.666"/>
    <n v="2"/>
    <n v="14.098000000000001"/>
    <x v="4"/>
    <x v="4"/>
  </r>
  <r>
    <s v="CA-2015-108119"/>
    <x v="341"/>
    <d v="2015-11-08T00:00:00"/>
    <x v="1"/>
    <s v="MS-17530"/>
    <s v="MaryBeth Skach"/>
    <x v="0"/>
    <s v="United States"/>
    <x v="285"/>
    <x v="31"/>
    <x v="0"/>
    <s v="FUR-TA-10002530"/>
    <s v="Furniture"/>
    <x v="2"/>
    <s v="Iceberg OfficeWorks 42&quot; Round Tables"/>
    <n v="301.95999999999998"/>
    <n v="2"/>
    <n v="45.293999999999997"/>
    <x v="1"/>
    <x v="0"/>
  </r>
  <r>
    <s v="US-2014-117968"/>
    <x v="31"/>
    <d v="2014-08-07T00:00:00"/>
    <x v="0"/>
    <s v="RS-19420"/>
    <s v="Ricardo Sperren"/>
    <x v="1"/>
    <s v="United States"/>
    <x v="286"/>
    <x v="19"/>
    <x v="2"/>
    <s v="FUR-CH-10002335"/>
    <s v="Furniture"/>
    <x v="1"/>
    <s v="Hon GuestStacker Chair"/>
    <n v="1133.3499999999999"/>
    <n v="5"/>
    <n v="294.67099999999999"/>
    <x v="3"/>
    <x v="10"/>
  </r>
  <r>
    <s v="CA-2016-152247"/>
    <x v="267"/>
    <d v="2016-11-12T00:00:00"/>
    <x v="1"/>
    <s v="MA-17995"/>
    <s v="Michelle Arnett"/>
    <x v="2"/>
    <s v="United States"/>
    <x v="287"/>
    <x v="45"/>
    <x v="1"/>
    <s v="FUR-CH-10001215"/>
    <s v="Furniture"/>
    <x v="1"/>
    <s v="Global Troy Executive Leather Low-Back Tilter"/>
    <n v="1603.136"/>
    <n v="4"/>
    <n v="100.196"/>
    <x v="2"/>
    <x v="0"/>
  </r>
  <r>
    <s v="CA-2016-128223"/>
    <x v="184"/>
    <d v="2016-06-14T00:00:00"/>
    <x v="3"/>
    <s v="EB-13705"/>
    <s v="Ed Braxton"/>
    <x v="1"/>
    <s v="United States"/>
    <x v="261"/>
    <x v="2"/>
    <x v="1"/>
    <s v="FUR-TA-10001771"/>
    <s v="Furniture"/>
    <x v="2"/>
    <s v="Bush Cubix Conference Tables, Fully Assembled"/>
    <n v="1293.4880000000001"/>
    <n v="7"/>
    <n v="80.843000000000004"/>
    <x v="7"/>
    <x v="2"/>
  </r>
  <r>
    <s v="CA-2016-154235"/>
    <x v="211"/>
    <d v="2016-09-28T00:00:00"/>
    <x v="1"/>
    <s v="RD-19900"/>
    <s v="Ruben Dartt"/>
    <x v="0"/>
    <s v="United States"/>
    <x v="17"/>
    <x v="6"/>
    <x v="3"/>
    <s v="FUR-FU-10004006"/>
    <s v="Furniture"/>
    <x v="3"/>
    <s v="Deflect-o DuraMat Lighweight, Studded, Beveled Mat for Low Pile Carpeting"/>
    <n v="127.95"/>
    <n v="3"/>
    <n v="21.7515"/>
    <x v="4"/>
    <x v="4"/>
  </r>
  <r>
    <s v="CA-2016-133935"/>
    <x v="126"/>
    <d v="2016-09-22T00:00:00"/>
    <x v="1"/>
    <s v="JW-15220"/>
    <s v="Jane Waco"/>
    <x v="1"/>
    <s v="United States"/>
    <x v="53"/>
    <x v="2"/>
    <x v="1"/>
    <s v="FUR-CH-10001215"/>
    <s v="Furniture"/>
    <x v="1"/>
    <s v="Global Troy Executive Leather Low-Back Tilter"/>
    <n v="801.56799999999998"/>
    <n v="2"/>
    <n v="50.097999999999999"/>
    <x v="4"/>
    <x v="4"/>
  </r>
  <r>
    <s v="CA-2016-133935"/>
    <x v="126"/>
    <d v="2016-09-22T00:00:00"/>
    <x v="1"/>
    <s v="JW-15220"/>
    <s v="Jane Waco"/>
    <x v="1"/>
    <s v="United States"/>
    <x v="53"/>
    <x v="2"/>
    <x v="1"/>
    <s v="FUR-CH-10002880"/>
    <s v="Furniture"/>
    <x v="1"/>
    <s v="Global High-Back Leather Tilter, Burgundy"/>
    <n v="885.52800000000002"/>
    <n v="9"/>
    <n v="-99.621899999999997"/>
    <x v="4"/>
    <x v="4"/>
  </r>
  <r>
    <s v="CA-2016-136301"/>
    <x v="345"/>
    <d v="2016-03-15T00:00:00"/>
    <x v="0"/>
    <s v="EH-13765"/>
    <s v="Edward Hooks"/>
    <x v="1"/>
    <s v="United States"/>
    <x v="28"/>
    <x v="2"/>
    <x v="1"/>
    <s v="FUR-FU-10004712"/>
    <s v="Furniture"/>
    <x v="3"/>
    <s v="Westinghouse Mesh Shade Clip-On Gooseneck Lamp, Black"/>
    <n v="28.28"/>
    <n v="2"/>
    <n v="7.3528000000000002"/>
    <x v="3"/>
    <x v="9"/>
  </r>
  <r>
    <s v="CA-2016-167682"/>
    <x v="672"/>
    <d v="2016-04-09T00:00:00"/>
    <x v="1"/>
    <s v="ZD-21925"/>
    <s v="Zuschuss Donatelli"/>
    <x v="0"/>
    <s v="United States"/>
    <x v="52"/>
    <x v="6"/>
    <x v="3"/>
    <s v="FUR-FU-10003799"/>
    <s v="Furniture"/>
    <x v="3"/>
    <s v="Seth Thomas 13 1/2&quot; Wall Clock"/>
    <n v="71.12"/>
    <n v="4"/>
    <n v="22.0472"/>
    <x v="6"/>
    <x v="6"/>
  </r>
  <r>
    <s v="CA-2016-159639"/>
    <x v="673"/>
    <d v="2016-12-02T00:00:00"/>
    <x v="1"/>
    <s v="PC-18745"/>
    <s v="Pamela Coakley"/>
    <x v="1"/>
    <s v="United States"/>
    <x v="162"/>
    <x v="18"/>
    <x v="2"/>
    <s v="FUR-FU-10001889"/>
    <s v="Furniture"/>
    <x v="3"/>
    <s v="Ultra Door Pull Handle"/>
    <n v="31.56"/>
    <n v="3"/>
    <n v="10.4148"/>
    <x v="2"/>
    <x v="0"/>
  </r>
  <r>
    <s v="US-2016-113985"/>
    <x v="674"/>
    <d v="2016-12-07T00:00:00"/>
    <x v="1"/>
    <s v="KD-16495"/>
    <s v="Keith Dawkins"/>
    <x v="1"/>
    <s v="United States"/>
    <x v="124"/>
    <x v="2"/>
    <x v="1"/>
    <s v="FUR-FU-10003026"/>
    <s v="Furniture"/>
    <x v="3"/>
    <s v="Eldon Regeneration Recycled Desk Accessories, Black"/>
    <n v="14.52"/>
    <n v="3"/>
    <n v="5.6627999999999998"/>
    <x v="2"/>
    <x v="5"/>
  </r>
  <r>
    <s v="US-2015-126977"/>
    <x v="5"/>
    <d v="2015-09-23T00:00:00"/>
    <x v="1"/>
    <s v="PF-19120"/>
    <s v="Peter Fuller"/>
    <x v="0"/>
    <s v="United States"/>
    <x v="13"/>
    <x v="7"/>
    <x v="2"/>
    <s v="FUR-CH-10001973"/>
    <s v="Furniture"/>
    <x v="1"/>
    <s v="Office Star Flex Back Scooter Chair with White Frame"/>
    <n v="199.76400000000001"/>
    <n v="2"/>
    <n v="8.8783999999999992"/>
    <x v="6"/>
    <x v="4"/>
  </r>
  <r>
    <s v="US-2015-126977"/>
    <x v="5"/>
    <d v="2015-09-23T00:00:00"/>
    <x v="1"/>
    <s v="PF-19120"/>
    <s v="Peter Fuller"/>
    <x v="0"/>
    <s v="United States"/>
    <x v="13"/>
    <x v="7"/>
    <x v="2"/>
    <s v="FUR-BO-10004834"/>
    <s v="Furniture"/>
    <x v="0"/>
    <s v="Riverside Palais Royal Lawyers Bookcase, Royale Cherry Finish"/>
    <n v="4228.7039999999997"/>
    <n v="6"/>
    <n v="158.57640000000001"/>
    <x v="6"/>
    <x v="4"/>
  </r>
  <r>
    <s v="US-2015-126977"/>
    <x v="5"/>
    <d v="2015-09-23T00:00:00"/>
    <x v="1"/>
    <s v="PF-19120"/>
    <s v="Peter Fuller"/>
    <x v="0"/>
    <s v="United States"/>
    <x v="13"/>
    <x v="7"/>
    <x v="2"/>
    <s v="FUR-BO-10002213"/>
    <s v="Furniture"/>
    <x v="0"/>
    <s v="DMI Eclipse Executive Suite Bookcases"/>
    <n v="2003.92"/>
    <n v="5"/>
    <n v="-25.048999999999999"/>
    <x v="6"/>
    <x v="4"/>
  </r>
  <r>
    <s v="CA-2016-130288"/>
    <x v="675"/>
    <d v="2016-11-30T00:00:00"/>
    <x v="0"/>
    <s v="DK-13225"/>
    <s v="Dean Katz"/>
    <x v="1"/>
    <s v="United States"/>
    <x v="13"/>
    <x v="7"/>
    <x v="2"/>
    <s v="FUR-TA-10002958"/>
    <s v="Furniture"/>
    <x v="2"/>
    <s v="Bevis Oval Conference Table, Walnut"/>
    <n v="313.17599999999999"/>
    <n v="2"/>
    <n v="-120.0508"/>
    <x v="4"/>
    <x v="0"/>
  </r>
  <r>
    <s v="US-2014-118997"/>
    <x v="676"/>
    <d v="2014-04-12T00:00:00"/>
    <x v="1"/>
    <s v="RA-19885"/>
    <s v="Ruben Ausman"/>
    <x v="1"/>
    <s v="United States"/>
    <x v="42"/>
    <x v="33"/>
    <x v="0"/>
    <s v="FUR-TA-10001086"/>
    <s v="Furniture"/>
    <x v="2"/>
    <s v="SAFCO PlanMaster Boards, 60w x 37-1/2d, White Melamine"/>
    <n v="1215.92"/>
    <n v="8"/>
    <n v="316.13920000000002"/>
    <x v="4"/>
    <x v="6"/>
  </r>
  <r>
    <s v="CA-2014-114314"/>
    <x v="524"/>
    <d v="2014-10-15T00:00:00"/>
    <x v="1"/>
    <s v="DB-13555"/>
    <s v="Dorothy Badders"/>
    <x v="1"/>
    <s v="United States"/>
    <x v="160"/>
    <x v="31"/>
    <x v="0"/>
    <s v="FUR-FU-10002107"/>
    <s v="Furniture"/>
    <x v="3"/>
    <s v="Eldon Pizzaz Desk Accessories"/>
    <n v="8.92"/>
    <n v="4"/>
    <n v="3.9247999999999998"/>
    <x v="4"/>
    <x v="1"/>
  </r>
  <r>
    <s v="US-2017-169551"/>
    <x v="677"/>
    <d v="2017-07-09T00:00:00"/>
    <x v="2"/>
    <s v="RL-19615"/>
    <s v="Rob Lucas"/>
    <x v="0"/>
    <s v="United States"/>
    <x v="3"/>
    <x v="3"/>
    <x v="2"/>
    <s v="FUR-BO-10001519"/>
    <s v="Furniture"/>
    <x v="0"/>
    <s v="O'Sullivan 3-Shelf Heavy-Duty Bookcases"/>
    <n v="87.21"/>
    <n v="3"/>
    <n v="-45.349200000000003"/>
    <x v="3"/>
    <x v="3"/>
  </r>
  <r>
    <s v="CA-2016-103107"/>
    <x v="557"/>
    <d v="2016-07-04T00:00:00"/>
    <x v="3"/>
    <s v="RB-19465"/>
    <s v="Rick Bensley"/>
    <x v="2"/>
    <s v="United States"/>
    <x v="15"/>
    <x v="13"/>
    <x v="1"/>
    <s v="FUR-FU-10000221"/>
    <s v="Furniture"/>
    <x v="3"/>
    <s v="Master Caster Door Stop, Brown"/>
    <n v="25.4"/>
    <n v="5"/>
    <n v="8.6359999999999992"/>
    <x v="7"/>
    <x v="3"/>
  </r>
  <r>
    <s v="CA-2014-104178"/>
    <x v="678"/>
    <d v="2014-08-29T00:00:00"/>
    <x v="1"/>
    <s v="JM-15265"/>
    <s v="Janet Molinari"/>
    <x v="1"/>
    <s v="United States"/>
    <x v="2"/>
    <x v="2"/>
    <x v="1"/>
    <s v="FUR-FU-10000771"/>
    <s v="Furniture"/>
    <x v="3"/>
    <s v="Eldon 200 Class Desk Accessories, Smoke"/>
    <n v="6.28"/>
    <n v="1"/>
    <n v="2.6375999999999999"/>
    <x v="4"/>
    <x v="10"/>
  </r>
  <r>
    <s v="CA-2014-155796"/>
    <x v="163"/>
    <d v="2014-11-15T00:00:00"/>
    <x v="0"/>
    <s v="TS-21430"/>
    <s v="Tom Stivers"/>
    <x v="1"/>
    <s v="United States"/>
    <x v="288"/>
    <x v="3"/>
    <x v="2"/>
    <s v="FUR-FU-10000409"/>
    <s v="Furniture"/>
    <x v="3"/>
    <s v="GE 4 Foot Flourescent Tube, 40 Watt"/>
    <n v="23.968"/>
    <n v="2"/>
    <n v="7.7896000000000001"/>
    <x v="4"/>
    <x v="0"/>
  </r>
  <r>
    <s v="CA-2014-155796"/>
    <x v="163"/>
    <d v="2014-11-15T00:00:00"/>
    <x v="0"/>
    <s v="TS-21430"/>
    <s v="Tom Stivers"/>
    <x v="1"/>
    <s v="United States"/>
    <x v="288"/>
    <x v="3"/>
    <x v="2"/>
    <s v="FUR-BO-10002545"/>
    <s v="Furniture"/>
    <x v="0"/>
    <s v="Atlantic Metals Mobile 3-Shelf Bookcases, Custom Colors"/>
    <n v="521.96"/>
    <n v="4"/>
    <n v="-250.54079999999999"/>
    <x v="4"/>
    <x v="0"/>
  </r>
  <r>
    <s v="CA-2016-127138"/>
    <x v="679"/>
    <d v="2016-03-15T00:00:00"/>
    <x v="0"/>
    <s v="DK-13225"/>
    <s v="Dean Katz"/>
    <x v="1"/>
    <s v="United States"/>
    <x v="28"/>
    <x v="2"/>
    <x v="1"/>
    <s v="FUR-CH-10003746"/>
    <s v="Furniture"/>
    <x v="1"/>
    <s v="Hon 4070 Series Pagoda Round Back Stacking Chairs"/>
    <n v="770.35199999999998"/>
    <n v="3"/>
    <n v="77.035200000000003"/>
    <x v="0"/>
    <x v="9"/>
  </r>
  <r>
    <s v="CA-2017-150602"/>
    <x v="436"/>
    <d v="2017-02-14T00:00:00"/>
    <x v="0"/>
    <s v="ML-17395"/>
    <s v="Marina Lichtenstein"/>
    <x v="1"/>
    <s v="United States"/>
    <x v="2"/>
    <x v="2"/>
    <x v="1"/>
    <s v="FUR-FU-10003142"/>
    <s v="Furniture"/>
    <x v="3"/>
    <s v="Master Big Foot Doorstop, Beige"/>
    <n v="21.12"/>
    <n v="4"/>
    <n v="6.5472000000000001"/>
    <x v="2"/>
    <x v="11"/>
  </r>
  <r>
    <s v="CA-2014-141726"/>
    <x v="435"/>
    <d v="2014-07-22T00:00:00"/>
    <x v="2"/>
    <s v="CC-12145"/>
    <s v="Charles Crestani"/>
    <x v="0"/>
    <s v="United States"/>
    <x v="53"/>
    <x v="2"/>
    <x v="1"/>
    <s v="FUR-FU-10003577"/>
    <s v="Furniture"/>
    <x v="3"/>
    <s v="Nu-Dell Leatherette Frames"/>
    <n v="43.02"/>
    <n v="3"/>
    <n v="15.4872"/>
    <x v="3"/>
    <x v="3"/>
  </r>
  <r>
    <s v="CA-2017-115105"/>
    <x v="335"/>
    <d v="2017-02-11T00:00:00"/>
    <x v="1"/>
    <s v="BD-11770"/>
    <s v="Bryan Davis"/>
    <x v="0"/>
    <s v="United States"/>
    <x v="13"/>
    <x v="7"/>
    <x v="2"/>
    <s v="FUR-BO-10001811"/>
    <s v="Furniture"/>
    <x v="0"/>
    <s v="Atlantic Metals Mobile 5-Shelf Bookcases, Custom Colors"/>
    <n v="240.78399999999999"/>
    <n v="1"/>
    <n v="30.097999999999999"/>
    <x v="2"/>
    <x v="11"/>
  </r>
  <r>
    <s v="CA-2014-117765"/>
    <x v="266"/>
    <d v="2014-09-13T00:00:00"/>
    <x v="1"/>
    <s v="RB-19465"/>
    <s v="Rick Bensley"/>
    <x v="2"/>
    <s v="United States"/>
    <x v="169"/>
    <x v="37"/>
    <x v="3"/>
    <s v="FUR-TA-10001039"/>
    <s v="Furniture"/>
    <x v="2"/>
    <s v="KI Adjustable-Height Table"/>
    <n v="429.9"/>
    <n v="5"/>
    <n v="111.774"/>
    <x v="6"/>
    <x v="4"/>
  </r>
  <r>
    <s v="CA-2014-117765"/>
    <x v="266"/>
    <d v="2014-09-13T00:00:00"/>
    <x v="1"/>
    <s v="RB-19465"/>
    <s v="Rick Bensley"/>
    <x v="2"/>
    <s v="United States"/>
    <x v="169"/>
    <x v="37"/>
    <x v="3"/>
    <s v="FUR-CH-10004698"/>
    <s v="Furniture"/>
    <x v="1"/>
    <s v="Padded Folding Chairs, Black, 4/Carton"/>
    <n v="161.96"/>
    <n v="2"/>
    <n v="45.348799999999997"/>
    <x v="6"/>
    <x v="4"/>
  </r>
  <r>
    <s v="CA-2016-163776"/>
    <x v="680"/>
    <d v="2016-07-25T00:00:00"/>
    <x v="1"/>
    <s v="JS-16030"/>
    <s v="Joy Smith"/>
    <x v="0"/>
    <s v="United States"/>
    <x v="289"/>
    <x v="21"/>
    <x v="0"/>
    <s v="FUR-FU-10001185"/>
    <s v="Furniture"/>
    <x v="3"/>
    <s v="Advantus Employee of the Month Certificate Frame, 11 x 13-1/2"/>
    <n v="185.58"/>
    <n v="6"/>
    <n v="76.087800000000001"/>
    <x v="6"/>
    <x v="3"/>
  </r>
  <r>
    <s v="CA-2016-163776"/>
    <x v="680"/>
    <d v="2016-07-25T00:00:00"/>
    <x v="1"/>
    <s v="JS-16030"/>
    <s v="Joy Smith"/>
    <x v="0"/>
    <s v="United States"/>
    <x v="289"/>
    <x v="21"/>
    <x v="0"/>
    <s v="FUR-BO-10003546"/>
    <s v="Furniture"/>
    <x v="0"/>
    <s v="Hon 4-Shelf Metal Bookcases"/>
    <n v="504.9"/>
    <n v="5"/>
    <n v="126.22499999999999"/>
    <x v="6"/>
    <x v="3"/>
  </r>
  <r>
    <s v="US-2017-163300"/>
    <x v="102"/>
    <d v="2017-09-21T00:00:00"/>
    <x v="1"/>
    <s v="ES-14020"/>
    <s v="Erica Smith"/>
    <x v="0"/>
    <s v="United States"/>
    <x v="2"/>
    <x v="2"/>
    <x v="1"/>
    <s v="FUR-CH-10003396"/>
    <s v="Furniture"/>
    <x v="1"/>
    <s v="Global Deluxe Steno Chair"/>
    <n v="184.75200000000001"/>
    <n v="3"/>
    <n v="-20.784600000000001"/>
    <x v="6"/>
    <x v="4"/>
  </r>
  <r>
    <s v="CA-2016-162187"/>
    <x v="106"/>
    <d v="2016-12-11T00:00:00"/>
    <x v="3"/>
    <s v="NS-18640"/>
    <s v="Noel Staavos"/>
    <x v="1"/>
    <s v="United States"/>
    <x v="29"/>
    <x v="15"/>
    <x v="2"/>
    <s v="FUR-CH-10003298"/>
    <s v="Furniture"/>
    <x v="1"/>
    <s v="Office Star - Contemporary Task Swivel chair with Loop Arms, Charcoal"/>
    <n v="458.43"/>
    <n v="5"/>
    <n v="-137.529"/>
    <x v="7"/>
    <x v="5"/>
  </r>
  <r>
    <s v="CA-2016-162187"/>
    <x v="106"/>
    <d v="2016-12-11T00:00:00"/>
    <x v="3"/>
    <s v="NS-18640"/>
    <s v="Noel Staavos"/>
    <x v="1"/>
    <s v="United States"/>
    <x v="29"/>
    <x v="15"/>
    <x v="2"/>
    <s v="FUR-TA-10003008"/>
    <s v="Furniture"/>
    <x v="2"/>
    <s v="Lesro Round Back Collection Coffee Table, End Table"/>
    <n v="328.59"/>
    <n v="3"/>
    <n v="-147.8655"/>
    <x v="7"/>
    <x v="5"/>
  </r>
  <r>
    <s v="US-2014-112991"/>
    <x v="681"/>
    <d v="2014-12-14T00:00:00"/>
    <x v="1"/>
    <s v="SH-19975"/>
    <s v="Sally Hughsby"/>
    <x v="1"/>
    <s v="United States"/>
    <x v="290"/>
    <x v="42"/>
    <x v="1"/>
    <s v="FUR-CH-10001708"/>
    <s v="Furniture"/>
    <x v="1"/>
    <s v="Office Star - Contemporary Swivel Chair with Padded Adjustable Arms and Flex Back"/>
    <n v="338.35199999999998"/>
    <n v="3"/>
    <n v="4.2294"/>
    <x v="4"/>
    <x v="5"/>
  </r>
  <r>
    <s v="CA-2014-124079"/>
    <x v="536"/>
    <d v="2014-12-17T00:00:00"/>
    <x v="1"/>
    <s v="RF-19345"/>
    <s v="Randy Ferguson"/>
    <x v="1"/>
    <s v="United States"/>
    <x v="43"/>
    <x v="22"/>
    <x v="1"/>
    <s v="FUR-FU-10002553"/>
    <s v="Furniture"/>
    <x v="3"/>
    <s v="Electrix Incandescent Magnifying Lamp, Black"/>
    <n v="87.96"/>
    <n v="3"/>
    <n v="7.6965000000000003"/>
    <x v="4"/>
    <x v="5"/>
  </r>
  <r>
    <s v="CA-2017-107244"/>
    <x v="87"/>
    <d v="2017-09-11T00:00:00"/>
    <x v="1"/>
    <s v="AG-10390"/>
    <s v="Allen Goldenen"/>
    <x v="0"/>
    <s v="United States"/>
    <x v="2"/>
    <x v="2"/>
    <x v="1"/>
    <s v="FUR-FU-10002597"/>
    <s v="Furniture"/>
    <x v="3"/>
    <s v="C-Line Magnetic Cubicle Keepers, Clear Polypropylene"/>
    <n v="19.760000000000002"/>
    <n v="4"/>
    <n v="8.2992000000000008"/>
    <x v="4"/>
    <x v="4"/>
  </r>
  <r>
    <s v="CA-2015-100657"/>
    <x v="46"/>
    <d v="2015-11-07T00:00:00"/>
    <x v="1"/>
    <s v="SW-20245"/>
    <s v="Scot Wooten"/>
    <x v="0"/>
    <s v="United States"/>
    <x v="8"/>
    <x v="7"/>
    <x v="2"/>
    <s v="FUR-CH-10003535"/>
    <s v="Furniture"/>
    <x v="1"/>
    <s v="Global Armless Task Chair, Royal Blue"/>
    <n v="109.764"/>
    <n v="2"/>
    <n v="8.5372000000000003"/>
    <x v="2"/>
    <x v="0"/>
  </r>
  <r>
    <s v="CA-2017-129028"/>
    <x v="535"/>
    <d v="2017-04-03T00:00:00"/>
    <x v="2"/>
    <s v="GB-14530"/>
    <s v="George Bell"/>
    <x v="1"/>
    <s v="United States"/>
    <x v="73"/>
    <x v="10"/>
    <x v="0"/>
    <s v="FUR-FU-10004006"/>
    <s v="Furniture"/>
    <x v="3"/>
    <s v="Deflect-o DuraMat Lighweight, Studded, Beveled Mat for Low Pile Carpeting"/>
    <n v="127.95"/>
    <n v="3"/>
    <n v="21.7515"/>
    <x v="3"/>
    <x v="6"/>
  </r>
  <r>
    <s v="CA-2014-102652"/>
    <x v="226"/>
    <d v="2014-04-12T00:00:00"/>
    <x v="1"/>
    <s v="AY-10555"/>
    <s v="Andy Yotov"/>
    <x v="1"/>
    <s v="United States"/>
    <x v="2"/>
    <x v="2"/>
    <x v="1"/>
    <s v="FUR-FU-10000747"/>
    <s v="Furniture"/>
    <x v="3"/>
    <s v="Tenex B1-RE Series Chair Mats for Low Pile Carpets"/>
    <n v="91.96"/>
    <n v="2"/>
    <n v="15.6332"/>
    <x v="6"/>
    <x v="6"/>
  </r>
  <r>
    <s v="CA-2014-102652"/>
    <x v="226"/>
    <d v="2014-04-12T00:00:00"/>
    <x v="1"/>
    <s v="AY-10555"/>
    <s v="Andy Yotov"/>
    <x v="1"/>
    <s v="United States"/>
    <x v="2"/>
    <x v="2"/>
    <x v="1"/>
    <s v="FUR-FU-10001918"/>
    <s v="Furniture"/>
    <x v="3"/>
    <s v="C-Line Cubicle Keepers Polyproplyene Holder With Velcro Backings"/>
    <n v="33.11"/>
    <n v="7"/>
    <n v="12.9129"/>
    <x v="6"/>
    <x v="6"/>
  </r>
  <r>
    <s v="US-2017-152492"/>
    <x v="682"/>
    <d v="2017-07-06T00:00:00"/>
    <x v="3"/>
    <s v="AH-10585"/>
    <s v="Angele Hood"/>
    <x v="0"/>
    <s v="United States"/>
    <x v="89"/>
    <x v="1"/>
    <x v="0"/>
    <s v="FUR-CH-10000155"/>
    <s v="Furniture"/>
    <x v="1"/>
    <s v="Global Comet Stacking Armless Chair"/>
    <n v="239.24"/>
    <n v="1"/>
    <n v="23.923999999999999"/>
    <x v="7"/>
    <x v="3"/>
  </r>
  <r>
    <s v="CA-2016-101168"/>
    <x v="683"/>
    <d v="2017-01-01T00:00:00"/>
    <x v="1"/>
    <s v="SS-20140"/>
    <s v="Saphhira Shifley"/>
    <x v="1"/>
    <s v="United States"/>
    <x v="291"/>
    <x v="28"/>
    <x v="2"/>
    <s v="FUR-FU-10003142"/>
    <s v="Furniture"/>
    <x v="3"/>
    <s v="Master Big Foot Doorstop, Beige"/>
    <n v="21.12"/>
    <n v="4"/>
    <n v="6.5472000000000001"/>
    <x v="1"/>
    <x v="5"/>
  </r>
  <r>
    <s v="CA-2015-130253"/>
    <x v="646"/>
    <d v="2015-12-18T00:00:00"/>
    <x v="1"/>
    <s v="PP-18955"/>
    <s v="Paul Prost"/>
    <x v="2"/>
    <s v="United States"/>
    <x v="2"/>
    <x v="2"/>
    <x v="1"/>
    <s v="FUR-FU-10002963"/>
    <s v="Furniture"/>
    <x v="3"/>
    <s v="Master Caster Door Stop, Gray"/>
    <n v="15.24"/>
    <n v="3"/>
    <n v="5.1816000000000004"/>
    <x v="4"/>
    <x v="5"/>
  </r>
  <r>
    <s v="CA-2016-131205"/>
    <x v="631"/>
    <d v="2016-09-08T00:00:00"/>
    <x v="1"/>
    <s v="AA-10645"/>
    <s v="Anna Andreadi"/>
    <x v="0"/>
    <s v="United States"/>
    <x v="292"/>
    <x v="0"/>
    <x v="0"/>
    <s v="FUR-FU-10003347"/>
    <s v="Furniture"/>
    <x v="3"/>
    <s v="Coloredge Poster Frame"/>
    <n v="42.6"/>
    <n v="3"/>
    <n v="16.614000000000001"/>
    <x v="4"/>
    <x v="4"/>
  </r>
  <r>
    <s v="CA-2016-117912"/>
    <x v="684"/>
    <d v="2016-02-08T00:00:00"/>
    <x v="1"/>
    <s v="TB-21520"/>
    <s v="Tracy Blumstein"/>
    <x v="0"/>
    <s v="United States"/>
    <x v="293"/>
    <x v="22"/>
    <x v="1"/>
    <s v="FUR-FU-10002088"/>
    <s v="Furniture"/>
    <x v="3"/>
    <s v="Nu-Dell Float Frame 11 x 14 1/2"/>
    <n v="14.368"/>
    <n v="2"/>
    <n v="3.9512"/>
    <x v="4"/>
    <x v="11"/>
  </r>
  <r>
    <s v="CA-2017-145702"/>
    <x v="405"/>
    <d v="2017-05-24T00:00:00"/>
    <x v="0"/>
    <s v="AH-10075"/>
    <s v="Adam Hart"/>
    <x v="1"/>
    <s v="United States"/>
    <x v="270"/>
    <x v="9"/>
    <x v="0"/>
    <s v="FUR-CH-10001482"/>
    <s v="Furniture"/>
    <x v="1"/>
    <s v="Office Star - Mesh Screen back chair with Vinyl seat"/>
    <n v="314.35199999999998"/>
    <n v="3"/>
    <n v="-35.364600000000003"/>
    <x v="2"/>
    <x v="7"/>
  </r>
  <r>
    <s v="CA-2015-113215"/>
    <x v="558"/>
    <d v="2015-09-08T00:00:00"/>
    <x v="1"/>
    <s v="CP-12085"/>
    <s v="Cathy Prescott"/>
    <x v="1"/>
    <s v="United States"/>
    <x v="104"/>
    <x v="22"/>
    <x v="1"/>
    <s v="FUR-FU-10002937"/>
    <s v="Furniture"/>
    <x v="3"/>
    <s v="GE 48&quot; Fluorescent Tube, Cool White Energy Saver, 34 Watts, 30/Box"/>
    <n v="238.15199999999999"/>
    <n v="3"/>
    <n v="89.307000000000002"/>
    <x v="2"/>
    <x v="4"/>
  </r>
  <r>
    <s v="CA-2016-154662"/>
    <x v="641"/>
    <d v="2016-06-16T00:00:00"/>
    <x v="1"/>
    <s v="BF-11215"/>
    <s v="Benjamin Farhat"/>
    <x v="2"/>
    <s v="United States"/>
    <x v="12"/>
    <x v="11"/>
    <x v="3"/>
    <s v="FUR-TA-10001771"/>
    <s v="Furniture"/>
    <x v="2"/>
    <s v="Bush Cubix Conference Tables, Fully Assembled"/>
    <n v="692.94"/>
    <n v="3"/>
    <n v="173.23500000000001"/>
    <x v="1"/>
    <x v="2"/>
  </r>
  <r>
    <s v="CA-2016-124016"/>
    <x v="348"/>
    <d v="2016-09-26T00:00:00"/>
    <x v="0"/>
    <s v="JS-15940"/>
    <s v="Joni Sundaresam"/>
    <x v="2"/>
    <s v="United States"/>
    <x v="68"/>
    <x v="15"/>
    <x v="2"/>
    <s v="FUR-FU-10004963"/>
    <s v="Furniture"/>
    <x v="3"/>
    <s v="Eldon 400 Class Desk Accessories, Black Carbon"/>
    <n v="28"/>
    <n v="4"/>
    <n v="7.7"/>
    <x v="0"/>
    <x v="4"/>
  </r>
  <r>
    <s v="CA-2017-166695"/>
    <x v="685"/>
    <d v="2017-05-24T00:00:00"/>
    <x v="1"/>
    <s v="CC-12430"/>
    <s v="Chuck Clark"/>
    <x v="2"/>
    <s v="United States"/>
    <x v="174"/>
    <x v="2"/>
    <x v="1"/>
    <s v="FUR-CH-10000225"/>
    <s v="Furniture"/>
    <x v="1"/>
    <s v="Global Geo Office Task Chair, Gray"/>
    <n v="518.27200000000005"/>
    <n v="8"/>
    <n v="-97.176000000000002"/>
    <x v="4"/>
    <x v="7"/>
  </r>
  <r>
    <s v="CA-2017-166695"/>
    <x v="685"/>
    <d v="2017-05-24T00:00:00"/>
    <x v="1"/>
    <s v="CC-12430"/>
    <s v="Chuck Clark"/>
    <x v="2"/>
    <s v="United States"/>
    <x v="174"/>
    <x v="2"/>
    <x v="1"/>
    <s v="FUR-FU-10002191"/>
    <s v="Furniture"/>
    <x v="3"/>
    <s v="G.E. Halogen Desk Lamp Bulbs"/>
    <n v="6.98"/>
    <n v="1"/>
    <n v="3.3504"/>
    <x v="4"/>
    <x v="7"/>
  </r>
  <r>
    <s v="CA-2016-151561"/>
    <x v="686"/>
    <d v="2016-09-07T00:00:00"/>
    <x v="1"/>
    <s v="PG-18820"/>
    <s v="Patrick Gardner"/>
    <x v="0"/>
    <s v="United States"/>
    <x v="13"/>
    <x v="7"/>
    <x v="2"/>
    <s v="FUR-FU-10004864"/>
    <s v="Furniture"/>
    <x v="3"/>
    <s v="Howard Miller 14-1/2&quot; Diameter Chrome Round Wall Clock"/>
    <n v="191.82"/>
    <n v="3"/>
    <n v="61.382399999999997"/>
    <x v="6"/>
    <x v="4"/>
  </r>
  <r>
    <s v="US-2014-165589"/>
    <x v="687"/>
    <d v="2014-02-18T00:00:00"/>
    <x v="3"/>
    <s v="TB-21595"/>
    <s v="Troy Blackwell"/>
    <x v="0"/>
    <s v="United States"/>
    <x v="294"/>
    <x v="5"/>
    <x v="3"/>
    <s v="FUR-FU-10002396"/>
    <s v="Furniture"/>
    <x v="3"/>
    <s v="DAX Copper Panel Document Frame, 5 x 7 Size"/>
    <n v="25.16"/>
    <n v="5"/>
    <n v="-11.321999999999999"/>
    <x v="7"/>
    <x v="11"/>
  </r>
  <r>
    <s v="CA-2015-114048"/>
    <x v="646"/>
    <d v="2015-12-18T00:00:00"/>
    <x v="1"/>
    <s v="EH-13945"/>
    <s v="Eric Hoffmann"/>
    <x v="0"/>
    <s v="United States"/>
    <x v="46"/>
    <x v="2"/>
    <x v="1"/>
    <s v="FUR-FU-10004351"/>
    <s v="Furniture"/>
    <x v="3"/>
    <s v="Staple-based wall hangings"/>
    <n v="29.22"/>
    <n v="3"/>
    <n v="12.8568"/>
    <x v="4"/>
    <x v="5"/>
  </r>
  <r>
    <s v="CA-2017-100111"/>
    <x v="688"/>
    <d v="2017-09-26T00:00:00"/>
    <x v="1"/>
    <s v="SV-20365"/>
    <s v="Seth Vernon"/>
    <x v="0"/>
    <s v="United States"/>
    <x v="13"/>
    <x v="7"/>
    <x v="2"/>
    <s v="FUR-CH-10003846"/>
    <s v="Furniture"/>
    <x v="1"/>
    <s v="Hon Valutask Swivel Chairs"/>
    <n v="272.64600000000002"/>
    <n v="3"/>
    <n v="18.176400000000001"/>
    <x v="6"/>
    <x v="4"/>
  </r>
  <r>
    <s v="CA-2017-100111"/>
    <x v="688"/>
    <d v="2017-09-26T00:00:00"/>
    <x v="1"/>
    <s v="SV-20365"/>
    <s v="Seth Vernon"/>
    <x v="0"/>
    <s v="United States"/>
    <x v="13"/>
    <x v="7"/>
    <x v="2"/>
    <s v="FUR-CH-10003061"/>
    <s v="Furniture"/>
    <x v="1"/>
    <s v="Global Leather Task Chair, Black"/>
    <n v="80.991"/>
    <n v="1"/>
    <n v="8.0991"/>
    <x v="6"/>
    <x v="4"/>
  </r>
  <r>
    <s v="CA-2017-100111"/>
    <x v="688"/>
    <d v="2017-09-26T00:00:00"/>
    <x v="1"/>
    <s v="SV-20365"/>
    <s v="Seth Vernon"/>
    <x v="0"/>
    <s v="United States"/>
    <x v="13"/>
    <x v="7"/>
    <x v="2"/>
    <s v="FUR-CH-10004086"/>
    <s v="Furniture"/>
    <x v="1"/>
    <s v="Hon 4070 Series Pagoda Armless Upholstered Stacking Chairs"/>
    <n v="2888.127"/>
    <n v="11"/>
    <n v="609.71569999999997"/>
    <x v="6"/>
    <x v="4"/>
  </r>
  <r>
    <s v="CA-2017-100111"/>
    <x v="688"/>
    <d v="2017-09-26T00:00:00"/>
    <x v="1"/>
    <s v="SV-20365"/>
    <s v="Seth Vernon"/>
    <x v="0"/>
    <s v="United States"/>
    <x v="13"/>
    <x v="7"/>
    <x v="2"/>
    <s v="FUR-CH-10001215"/>
    <s v="Furniture"/>
    <x v="1"/>
    <s v="Global Troy Executive Leather Low-Back Tilter"/>
    <n v="2254.41"/>
    <n v="5"/>
    <n v="375.73500000000001"/>
    <x v="6"/>
    <x v="4"/>
  </r>
  <r>
    <s v="US-2017-132381"/>
    <x v="621"/>
    <d v="2017-08-24T00:00:00"/>
    <x v="2"/>
    <s v="Dp-13240"/>
    <s v="Dean percer"/>
    <x v="2"/>
    <s v="United States"/>
    <x v="3"/>
    <x v="3"/>
    <x v="2"/>
    <s v="FUR-TA-10002356"/>
    <s v="Furniture"/>
    <x v="2"/>
    <s v="Bevis Boat-Shaped Conference Table"/>
    <n v="314.53199999999998"/>
    <n v="2"/>
    <n v="-83.875200000000007"/>
    <x v="3"/>
    <x v="10"/>
  </r>
  <r>
    <s v="CA-2016-124590"/>
    <x v="689"/>
    <d v="2016-11-16T00:00:00"/>
    <x v="1"/>
    <s v="SP-20920"/>
    <s v="Susan Pistek"/>
    <x v="0"/>
    <s v="United States"/>
    <x v="255"/>
    <x v="15"/>
    <x v="2"/>
    <s v="FUR-CH-10004495"/>
    <s v="Furniture"/>
    <x v="1"/>
    <s v="Global Leather and Oak Executive Chair, Black"/>
    <n v="1474.8019999999999"/>
    <n v="7"/>
    <n v="-21.0686"/>
    <x v="4"/>
    <x v="0"/>
  </r>
  <r>
    <s v="CA-2016-124590"/>
    <x v="689"/>
    <d v="2016-11-16T00:00:00"/>
    <x v="1"/>
    <s v="SP-20920"/>
    <s v="Susan Pistek"/>
    <x v="0"/>
    <s v="United States"/>
    <x v="255"/>
    <x v="15"/>
    <x v="2"/>
    <s v="FUR-CH-10000454"/>
    <s v="Furniture"/>
    <x v="1"/>
    <s v="Hon Deluxe Fabric Upholstered Stacking Chairs, Rounded Back"/>
    <n v="1537.0740000000001"/>
    <n v="9"/>
    <n v="0"/>
    <x v="4"/>
    <x v="0"/>
  </r>
  <r>
    <s v="CA-2016-124590"/>
    <x v="689"/>
    <d v="2016-11-16T00:00:00"/>
    <x v="1"/>
    <s v="SP-20920"/>
    <s v="Susan Pistek"/>
    <x v="0"/>
    <s v="United States"/>
    <x v="255"/>
    <x v="15"/>
    <x v="2"/>
    <s v="FUR-CH-10003746"/>
    <s v="Furniture"/>
    <x v="1"/>
    <s v="Hon 4070 Series Pagoda Round Back Stacking Chairs"/>
    <n v="449.37200000000001"/>
    <n v="2"/>
    <n v="-12.8392"/>
    <x v="4"/>
    <x v="0"/>
  </r>
  <r>
    <s v="CA-2017-143378"/>
    <x v="690"/>
    <d v="2017-09-25T00:00:00"/>
    <x v="1"/>
    <s v="JR-16210"/>
    <s v="Justin Ritter"/>
    <x v="1"/>
    <s v="United States"/>
    <x v="76"/>
    <x v="36"/>
    <x v="1"/>
    <s v="FUR-FU-10004864"/>
    <s v="Furniture"/>
    <x v="3"/>
    <s v="Howard Miller 14-1/2&quot; Diameter Chrome Round Wall Clock"/>
    <n v="409.21600000000001"/>
    <n v="8"/>
    <n v="61.382399999999997"/>
    <x v="6"/>
    <x v="4"/>
  </r>
  <r>
    <s v="CA-2017-143378"/>
    <x v="690"/>
    <d v="2017-09-25T00:00:00"/>
    <x v="1"/>
    <s v="JR-16210"/>
    <s v="Justin Ritter"/>
    <x v="1"/>
    <s v="United States"/>
    <x v="76"/>
    <x v="36"/>
    <x v="1"/>
    <s v="FUR-BO-10001972"/>
    <s v="Furniture"/>
    <x v="0"/>
    <s v="O'Sullivan 4-Shelf Bookcase in Odessa Pine"/>
    <n v="72.587999999999994"/>
    <n v="2"/>
    <n v="-128.2388"/>
    <x v="6"/>
    <x v="4"/>
  </r>
  <r>
    <s v="CA-2016-124100"/>
    <x v="691"/>
    <d v="2016-04-06T00:00:00"/>
    <x v="1"/>
    <s v="EH-13990"/>
    <s v="Erica Hackney"/>
    <x v="0"/>
    <s v="United States"/>
    <x v="13"/>
    <x v="7"/>
    <x v="2"/>
    <s v="FUR-CH-10003817"/>
    <s v="Furniture"/>
    <x v="1"/>
    <s v="Global Value Steno Chair, Gray"/>
    <n v="327.99599999999998"/>
    <n v="6"/>
    <n v="54.665999999999997"/>
    <x v="6"/>
    <x v="9"/>
  </r>
  <r>
    <s v="CA-2014-163447"/>
    <x v="421"/>
    <d v="2014-12-31T00:00:00"/>
    <x v="1"/>
    <s v="TB-21190"/>
    <s v="Thomas Brumley"/>
    <x v="2"/>
    <s v="United States"/>
    <x v="13"/>
    <x v="7"/>
    <x v="2"/>
    <s v="FUR-CH-10004477"/>
    <s v="Furniture"/>
    <x v="1"/>
    <s v="Global Push Button Manager's Chair, Indigo"/>
    <n v="767.21400000000006"/>
    <n v="14"/>
    <n v="161.9674"/>
    <x v="4"/>
    <x v="5"/>
  </r>
  <r>
    <s v="CA-2016-148096"/>
    <x v="692"/>
    <d v="2016-08-19T00:00:00"/>
    <x v="2"/>
    <s v="AO-10810"/>
    <s v="Anthony O'Donnell"/>
    <x v="1"/>
    <s v="United States"/>
    <x v="2"/>
    <x v="2"/>
    <x v="1"/>
    <s v="FUR-TA-10004152"/>
    <s v="Furniture"/>
    <x v="2"/>
    <s v="Barricks 18&quot; x 48&quot; Non-Folding Utility Table with Bottom Storage Shelf"/>
    <n v="161.28"/>
    <n v="2"/>
    <n v="12.096"/>
    <x v="0"/>
    <x v="10"/>
  </r>
  <r>
    <s v="CA-2014-131247"/>
    <x v="693"/>
    <d v="2014-04-04T00:00:00"/>
    <x v="1"/>
    <s v="GA-14725"/>
    <s v="Guy Armstrong"/>
    <x v="0"/>
    <s v="United States"/>
    <x v="28"/>
    <x v="2"/>
    <x v="1"/>
    <s v="FUR-BO-10001337"/>
    <s v="Furniture"/>
    <x v="0"/>
    <s v="O'Sullivan Living Dimensions 2-Shelf Bookcases"/>
    <n v="205.666"/>
    <n v="2"/>
    <n v="-12.098000000000001"/>
    <x v="2"/>
    <x v="9"/>
  </r>
  <r>
    <s v="CA-2017-101322"/>
    <x v="158"/>
    <d v="2017-12-31T00:00:00"/>
    <x v="2"/>
    <s v="JG-15310"/>
    <s v="Jason Gross"/>
    <x v="1"/>
    <s v="United States"/>
    <x v="62"/>
    <x v="2"/>
    <x v="1"/>
    <s v="FUR-CH-10003968"/>
    <s v="Furniture"/>
    <x v="1"/>
    <s v="Novimex Turbo Task Chair"/>
    <n v="340.70400000000001"/>
    <n v="6"/>
    <n v="-34.070399999999999"/>
    <x v="0"/>
    <x v="5"/>
  </r>
  <r>
    <s v="US-2016-106600"/>
    <x v="57"/>
    <d v="2016-04-11T00:00:00"/>
    <x v="2"/>
    <s v="RM-19375"/>
    <s v="Raymond Messe"/>
    <x v="0"/>
    <s v="United States"/>
    <x v="29"/>
    <x v="24"/>
    <x v="0"/>
    <s v="FUR-BO-10001608"/>
    <s v="Furniture"/>
    <x v="0"/>
    <s v="Hon Metal Bookcases, Black"/>
    <n v="354.9"/>
    <n v="5"/>
    <n v="88.724999999999994"/>
    <x v="0"/>
    <x v="6"/>
  </r>
  <r>
    <s v="CA-2014-111871"/>
    <x v="385"/>
    <d v="2014-03-21T00:00:00"/>
    <x v="0"/>
    <s v="EK-13795"/>
    <s v="Eileen Kiefer"/>
    <x v="2"/>
    <s v="United States"/>
    <x v="28"/>
    <x v="2"/>
    <x v="1"/>
    <s v="FUR-BO-10004218"/>
    <s v="Furniture"/>
    <x v="0"/>
    <s v="Bush Heritage Pine Collection 5-Shelf Bookcase, Albany Pine Finish, *Special Order"/>
    <n v="1198.33"/>
    <n v="10"/>
    <n v="70.489999999999995"/>
    <x v="0"/>
    <x v="9"/>
  </r>
  <r>
    <s v="CA-2017-151484"/>
    <x v="333"/>
    <d v="2017-04-23T00:00:00"/>
    <x v="2"/>
    <s v="CV-12805"/>
    <s v="Cynthia Voltz"/>
    <x v="1"/>
    <s v="United States"/>
    <x v="3"/>
    <x v="3"/>
    <x v="2"/>
    <s v="FUR-FU-10001876"/>
    <s v="Furniture"/>
    <x v="3"/>
    <s v="Computer Room Manger, 14&quot;"/>
    <n v="51.968000000000004"/>
    <n v="2"/>
    <n v="10.393599999999999"/>
    <x v="0"/>
    <x v="6"/>
  </r>
  <r>
    <s v="CA-2017-151484"/>
    <x v="333"/>
    <d v="2017-04-23T00:00:00"/>
    <x v="2"/>
    <s v="CV-12805"/>
    <s v="Cynthia Voltz"/>
    <x v="1"/>
    <s v="United States"/>
    <x v="3"/>
    <x v="3"/>
    <x v="2"/>
    <s v="FUR-FU-10004671"/>
    <s v="Furniture"/>
    <x v="3"/>
    <s v="Executive Impressions 12&quot; Wall Clock"/>
    <n v="42.408000000000001"/>
    <n v="3"/>
    <n v="9.5418000000000003"/>
    <x v="0"/>
    <x v="6"/>
  </r>
  <r>
    <s v="CA-2014-103989"/>
    <x v="694"/>
    <d v="2014-03-21T00:00:00"/>
    <x v="2"/>
    <s v="MC-17605"/>
    <s v="Matt Connell"/>
    <x v="1"/>
    <s v="United States"/>
    <x v="49"/>
    <x v="1"/>
    <x v="0"/>
    <s v="FUR-FU-10003981"/>
    <s v="Furniture"/>
    <x v="3"/>
    <s v="Eldon Wave Desk Accessories"/>
    <n v="4.992"/>
    <n v="3"/>
    <n v="1.3728"/>
    <x v="3"/>
    <x v="9"/>
  </r>
  <r>
    <s v="CA-2014-103989"/>
    <x v="694"/>
    <d v="2014-03-21T00:00:00"/>
    <x v="2"/>
    <s v="MC-17605"/>
    <s v="Matt Connell"/>
    <x v="1"/>
    <s v="United States"/>
    <x v="49"/>
    <x v="1"/>
    <x v="0"/>
    <s v="FUR-FU-10002508"/>
    <s v="Furniture"/>
    <x v="3"/>
    <s v="Document Clip Frames"/>
    <n v="20.015999999999998"/>
    <n v="3"/>
    <n v="5.5044000000000004"/>
    <x v="3"/>
    <x v="9"/>
  </r>
  <r>
    <s v="CA-2015-158421"/>
    <x v="231"/>
    <d v="2015-09-26T00:00:00"/>
    <x v="1"/>
    <s v="GB-14575"/>
    <s v="Giulietta Baptist"/>
    <x v="0"/>
    <s v="United States"/>
    <x v="11"/>
    <x v="10"/>
    <x v="0"/>
    <s v="FUR-CH-10000309"/>
    <s v="Furniture"/>
    <x v="1"/>
    <s v="Global Comet Stacking Arm Chair"/>
    <n v="1690.04"/>
    <n v="4"/>
    <n v="422.51"/>
    <x v="2"/>
    <x v="4"/>
  </r>
  <r>
    <s v="CA-2016-143609"/>
    <x v="106"/>
    <d v="2016-12-13T00:00:00"/>
    <x v="2"/>
    <s v="DB-13270"/>
    <s v="Deborah Brumfield"/>
    <x v="2"/>
    <s v="United States"/>
    <x v="295"/>
    <x v="36"/>
    <x v="1"/>
    <s v="FUR-CH-10004218"/>
    <s v="Furniture"/>
    <x v="1"/>
    <s v="Global Fabric Manager's Chair, Dark Gray"/>
    <n v="403.92"/>
    <n v="5"/>
    <n v="25.245000000000001"/>
    <x v="3"/>
    <x v="5"/>
  </r>
  <r>
    <s v="CA-2016-157259"/>
    <x v="695"/>
    <d v="2016-12-28T00:00:00"/>
    <x v="1"/>
    <s v="JM-15535"/>
    <s v="Jessica Myrick"/>
    <x v="0"/>
    <s v="United States"/>
    <x v="13"/>
    <x v="7"/>
    <x v="2"/>
    <s v="FUR-FU-10003192"/>
    <s v="Furniture"/>
    <x v="3"/>
    <s v="Luxo Adjustable Task Clamp Lamp"/>
    <n v="799.56"/>
    <n v="9"/>
    <n v="207.88560000000001"/>
    <x v="4"/>
    <x v="5"/>
  </r>
  <r>
    <s v="CA-2016-118332"/>
    <x v="696"/>
    <d v="2016-12-23T00:00:00"/>
    <x v="1"/>
    <s v="PK-19075"/>
    <s v="Pete Kriz"/>
    <x v="0"/>
    <s v="United States"/>
    <x v="278"/>
    <x v="2"/>
    <x v="1"/>
    <s v="FUR-CH-10001708"/>
    <s v="Furniture"/>
    <x v="1"/>
    <s v="Office Star - Contemporary Swivel Chair with Padded Adjustable Arms and Flex Back"/>
    <n v="563.91999999999996"/>
    <n v="5"/>
    <n v="7.0490000000000004"/>
    <x v="1"/>
    <x v="5"/>
  </r>
  <r>
    <s v="CA-2017-145660"/>
    <x v="451"/>
    <d v="2017-12-03T00:00:00"/>
    <x v="2"/>
    <s v="MG-17650"/>
    <s v="Matthew Grinstein"/>
    <x v="2"/>
    <s v="United States"/>
    <x v="149"/>
    <x v="15"/>
    <x v="2"/>
    <s v="FUR-FU-10002885"/>
    <s v="Furniture"/>
    <x v="3"/>
    <s v="Magna Visual Magnetic Picture Hangers"/>
    <n v="7.7119999999999997"/>
    <n v="2"/>
    <n v="1.7352000000000001"/>
    <x v="3"/>
    <x v="5"/>
  </r>
  <r>
    <s v="CA-2016-133697"/>
    <x v="697"/>
    <d v="2016-10-24T00:00:00"/>
    <x v="0"/>
    <s v="CM-12445"/>
    <s v="Chuck Magee"/>
    <x v="0"/>
    <s v="United States"/>
    <x v="6"/>
    <x v="5"/>
    <x v="3"/>
    <s v="FUR-CH-10002372"/>
    <s v="Furniture"/>
    <x v="1"/>
    <s v="Office Star - Ergonomically Designed Knee Chair"/>
    <n v="56.686"/>
    <n v="1"/>
    <n v="-14.5764"/>
    <x v="4"/>
    <x v="1"/>
  </r>
  <r>
    <s v="CA-2017-119809"/>
    <x v="100"/>
    <d v="2017-08-25T00:00:00"/>
    <x v="1"/>
    <s v="YS-21880"/>
    <s v="Yana Sorensen"/>
    <x v="1"/>
    <s v="United States"/>
    <x v="15"/>
    <x v="13"/>
    <x v="1"/>
    <s v="FUR-FU-10001475"/>
    <s v="Furniture"/>
    <x v="3"/>
    <s v="Contract Clock, 14&quot;, Brown"/>
    <n v="65.94"/>
    <n v="3"/>
    <n v="22.419599999999999"/>
    <x v="1"/>
    <x v="10"/>
  </r>
  <r>
    <s v="CA-2015-161711"/>
    <x v="44"/>
    <d v="2015-12-03T00:00:00"/>
    <x v="1"/>
    <s v="MC-17425"/>
    <s v="Mark Cousins"/>
    <x v="1"/>
    <s v="United States"/>
    <x v="13"/>
    <x v="7"/>
    <x v="2"/>
    <s v="FUR-FU-10000087"/>
    <s v="Furniture"/>
    <x v="3"/>
    <s v="Executive Impressions 14&quot; Two-Color Numerals Wall Clock"/>
    <n v="68.16"/>
    <n v="3"/>
    <n v="27.945599999999999"/>
    <x v="2"/>
    <x v="0"/>
  </r>
  <r>
    <s v="CA-2017-140627"/>
    <x v="340"/>
    <d v="2017-12-27T00:00:00"/>
    <x v="1"/>
    <s v="DK-12985"/>
    <s v="Darren Koutras"/>
    <x v="0"/>
    <s v="United States"/>
    <x v="296"/>
    <x v="9"/>
    <x v="0"/>
    <s v="FUR-FU-10000087"/>
    <s v="Furniture"/>
    <x v="3"/>
    <s v="Executive Impressions 14&quot; Two-Color Numerals Wall Clock"/>
    <n v="72.703999999999994"/>
    <n v="4"/>
    <n v="19.084800000000001"/>
    <x v="4"/>
    <x v="5"/>
  </r>
  <r>
    <s v="CA-2015-133445"/>
    <x v="698"/>
    <d v="2015-10-09T00:00:00"/>
    <x v="1"/>
    <s v="JF-15490"/>
    <s v="Jeremy Farry"/>
    <x v="0"/>
    <s v="United States"/>
    <x v="295"/>
    <x v="36"/>
    <x v="1"/>
    <s v="FUR-BO-10003660"/>
    <s v="Furniture"/>
    <x v="0"/>
    <s v="Bush Cubix Collection Bookcases, Fully Assembled"/>
    <n v="66.293999999999997"/>
    <n v="1"/>
    <n v="-103.86060000000001"/>
    <x v="4"/>
    <x v="1"/>
  </r>
  <r>
    <s v="CA-2015-133445"/>
    <x v="698"/>
    <d v="2015-10-09T00:00:00"/>
    <x v="1"/>
    <s v="JF-15490"/>
    <s v="Jeremy Farry"/>
    <x v="0"/>
    <s v="United States"/>
    <x v="295"/>
    <x v="36"/>
    <x v="1"/>
    <s v="FUR-CH-10000422"/>
    <s v="Furniture"/>
    <x v="1"/>
    <s v="Global Highback Leather Tilter in Burgundy"/>
    <n v="291.16800000000001"/>
    <n v="4"/>
    <n v="-14.558400000000001"/>
    <x v="4"/>
    <x v="1"/>
  </r>
  <r>
    <s v="US-2017-142188"/>
    <x v="91"/>
    <d v="2017-09-11T00:00:00"/>
    <x v="3"/>
    <s v="JF-15415"/>
    <s v="Jennifer Ferguson"/>
    <x v="0"/>
    <s v="United States"/>
    <x v="15"/>
    <x v="13"/>
    <x v="1"/>
    <s v="FUR-CH-10003199"/>
    <s v="Furniture"/>
    <x v="1"/>
    <s v="Office Star - Contemporary Task Swivel Chair"/>
    <n v="177.56800000000001"/>
    <n v="2"/>
    <n v="8.8783999999999992"/>
    <x v="7"/>
    <x v="4"/>
  </r>
  <r>
    <s v="CA-2015-134075"/>
    <x v="132"/>
    <d v="2015-12-16T00:00:00"/>
    <x v="1"/>
    <s v="HA-14905"/>
    <s v="Helen Abelman"/>
    <x v="0"/>
    <s v="United States"/>
    <x v="124"/>
    <x v="2"/>
    <x v="1"/>
    <s v="FUR-FU-10004597"/>
    <s v="Furniture"/>
    <x v="3"/>
    <s v="Eldon Cleatmat Chair Mats for Medium Pile Carpets"/>
    <n v="166.5"/>
    <n v="3"/>
    <n v="21.645"/>
    <x v="4"/>
    <x v="5"/>
  </r>
  <r>
    <s v="CA-2017-141572"/>
    <x v="15"/>
    <d v="2017-05-31T00:00:00"/>
    <x v="0"/>
    <s v="LO-17170"/>
    <s v="Lori Olson"/>
    <x v="1"/>
    <s v="United States"/>
    <x v="41"/>
    <x v="28"/>
    <x v="2"/>
    <s v="FUR-FU-10001185"/>
    <s v="Furniture"/>
    <x v="3"/>
    <s v="Advantus Employee of the Month Certificate Frame, 11 x 13-1/2"/>
    <n v="247.44"/>
    <n v="8"/>
    <n v="101.4504"/>
    <x v="0"/>
    <x v="7"/>
  </r>
  <r>
    <s v="CA-2015-112305"/>
    <x v="141"/>
    <d v="2015-11-25T00:00:00"/>
    <x v="1"/>
    <s v="KB-16405"/>
    <s v="Katrina Bavinger"/>
    <x v="2"/>
    <s v="United States"/>
    <x v="15"/>
    <x v="13"/>
    <x v="1"/>
    <s v="FUR-FU-10002364"/>
    <s v="Furniture"/>
    <x v="3"/>
    <s v="Eldon Expressions Wood Desk Accessories, Oak"/>
    <n v="22.14"/>
    <n v="3"/>
    <n v="6.4206000000000003"/>
    <x v="2"/>
    <x v="0"/>
  </r>
  <r>
    <s v="CA-2017-121580"/>
    <x v="464"/>
    <d v="2017-06-04T00:00:00"/>
    <x v="1"/>
    <s v="ML-17410"/>
    <s v="Maris LaWare"/>
    <x v="0"/>
    <s v="United States"/>
    <x v="29"/>
    <x v="6"/>
    <x v="3"/>
    <s v="FUR-FU-10003981"/>
    <s v="Furniture"/>
    <x v="3"/>
    <s v="Eldon Wave Desk Accessories"/>
    <n v="6.24"/>
    <n v="3"/>
    <n v="2.6208"/>
    <x v="6"/>
    <x v="7"/>
  </r>
  <r>
    <s v="CA-2015-151624"/>
    <x v="699"/>
    <d v="2015-09-14T00:00:00"/>
    <x v="1"/>
    <s v="VW-21775"/>
    <s v="Victoria Wilson"/>
    <x v="1"/>
    <s v="United States"/>
    <x v="132"/>
    <x v="33"/>
    <x v="0"/>
    <s v="FUR-FU-10001731"/>
    <s v="Furniture"/>
    <x v="3"/>
    <s v="Acrylic Self-Standing Desk Frames"/>
    <n v="21.36"/>
    <n v="8"/>
    <n v="8.1167999999999996"/>
    <x v="6"/>
    <x v="4"/>
  </r>
  <r>
    <s v="CA-2017-102379"/>
    <x v="308"/>
    <d v="2017-12-06T00:00:00"/>
    <x v="1"/>
    <s v="BB-11545"/>
    <s v="Brenda Bowman"/>
    <x v="1"/>
    <s v="United States"/>
    <x v="121"/>
    <x v="2"/>
    <x v="1"/>
    <s v="FUR-CH-10004983"/>
    <s v="Furniture"/>
    <x v="1"/>
    <s v="Office Star - Mid Back Dual function Ergonomic High Back Chair with 2-Way Adjustable Arms"/>
    <n v="1159.056"/>
    <n v="9"/>
    <n v="43.464599999999997"/>
    <x v="4"/>
    <x v="5"/>
  </r>
  <r>
    <s v="US-2016-139087"/>
    <x v="700"/>
    <d v="2016-07-22T00:00:00"/>
    <x v="0"/>
    <s v="DK-13375"/>
    <s v="Dennis Kane"/>
    <x v="0"/>
    <s v="United States"/>
    <x v="15"/>
    <x v="13"/>
    <x v="1"/>
    <s v="FUR-FU-10001847"/>
    <s v="Furniture"/>
    <x v="3"/>
    <s v="Eldon Image Series Black Desk Accessories"/>
    <n v="12.42"/>
    <n v="3"/>
    <n v="4.4711999999999996"/>
    <x v="2"/>
    <x v="3"/>
  </r>
  <r>
    <s v="US-2016-139087"/>
    <x v="700"/>
    <d v="2016-07-22T00:00:00"/>
    <x v="0"/>
    <s v="DK-13375"/>
    <s v="Dennis Kane"/>
    <x v="0"/>
    <s v="United States"/>
    <x v="15"/>
    <x v="13"/>
    <x v="1"/>
    <s v="FUR-FU-10004164"/>
    <s v="Furniture"/>
    <x v="3"/>
    <s v="Eldon 300 Class Desk Accessories, Black"/>
    <n v="24.75"/>
    <n v="5"/>
    <n v="10.89"/>
    <x v="2"/>
    <x v="3"/>
  </r>
  <r>
    <s v="CA-2015-116484"/>
    <x v="141"/>
    <d v="2015-11-26T00:00:00"/>
    <x v="1"/>
    <s v="JK-15205"/>
    <s v="Jamie Kunitz"/>
    <x v="0"/>
    <s v="United States"/>
    <x v="149"/>
    <x v="15"/>
    <x v="2"/>
    <s v="FUR-FU-10002874"/>
    <s v="Furniture"/>
    <x v="3"/>
    <s v="Ultra Commercial Grade Dual Valve Door Closer"/>
    <n v="63.823999999999998"/>
    <n v="2"/>
    <n v="9.5736000000000008"/>
    <x v="6"/>
    <x v="0"/>
  </r>
  <r>
    <s v="CA-2016-100944"/>
    <x v="211"/>
    <d v="2016-09-28T00:00:00"/>
    <x v="1"/>
    <s v="EH-13765"/>
    <s v="Edward Hooks"/>
    <x v="1"/>
    <s v="United States"/>
    <x v="2"/>
    <x v="2"/>
    <x v="1"/>
    <s v="FUR-CH-10000988"/>
    <s v="Furniture"/>
    <x v="1"/>
    <s v="Hon Olson Stacker Stools"/>
    <n v="563.24"/>
    <n v="5"/>
    <n v="56.323999999999998"/>
    <x v="4"/>
    <x v="4"/>
  </r>
  <r>
    <s v="CA-2016-125080"/>
    <x v="59"/>
    <d v="2016-10-26T00:00:00"/>
    <x v="1"/>
    <s v="VW-21775"/>
    <s v="Victoria Wilson"/>
    <x v="1"/>
    <s v="United States"/>
    <x v="174"/>
    <x v="15"/>
    <x v="2"/>
    <s v="FUR-TA-10003238"/>
    <s v="Furniture"/>
    <x v="2"/>
    <s v="Chromcraft Bull-Nose Wood 48&quot; x 96&quot; Rectangular Conference Tables"/>
    <n v="661.17600000000004"/>
    <n v="2"/>
    <n v="-231.41159999999999"/>
    <x v="2"/>
    <x v="1"/>
  </r>
  <r>
    <s v="CA-2014-100090"/>
    <x v="591"/>
    <d v="2014-07-12T00:00:00"/>
    <x v="1"/>
    <s v="EB-13705"/>
    <s v="Ed Braxton"/>
    <x v="1"/>
    <s v="United States"/>
    <x v="28"/>
    <x v="2"/>
    <x v="1"/>
    <s v="FUR-TA-10003715"/>
    <s v="Furniture"/>
    <x v="2"/>
    <s v="Hon 2111 Invitation Series Corner Table"/>
    <n v="502.488"/>
    <n v="3"/>
    <n v="-87.935400000000001"/>
    <x v="4"/>
    <x v="3"/>
  </r>
  <r>
    <s v="US-2015-139675"/>
    <x v="310"/>
    <d v="2015-03-18T00:00:00"/>
    <x v="0"/>
    <s v="NF-18595"/>
    <s v="Nicole Fjeld"/>
    <x v="2"/>
    <s v="United States"/>
    <x v="297"/>
    <x v="2"/>
    <x v="1"/>
    <s v="FUR-CH-10004063"/>
    <s v="Furniture"/>
    <x v="1"/>
    <s v="Global Deluxe High-Back Manager's Chair"/>
    <n v="915.13599999999997"/>
    <n v="4"/>
    <n v="102.9528"/>
    <x v="2"/>
    <x v="9"/>
  </r>
  <r>
    <s v="US-2015-139675"/>
    <x v="310"/>
    <d v="2015-03-18T00:00:00"/>
    <x v="0"/>
    <s v="NF-18595"/>
    <s v="Nicole Fjeld"/>
    <x v="2"/>
    <s v="United States"/>
    <x v="297"/>
    <x v="2"/>
    <x v="1"/>
    <s v="FUR-FU-10001979"/>
    <s v="Furniture"/>
    <x v="3"/>
    <s v="Dana Halogen Swing-Arm Architect Lamp"/>
    <n v="327.76"/>
    <n v="8"/>
    <n v="91.772800000000004"/>
    <x v="2"/>
    <x v="9"/>
  </r>
  <r>
    <s v="CA-2017-143756"/>
    <x v="308"/>
    <d v="2017-12-05T00:00:00"/>
    <x v="2"/>
    <s v="ME-17725"/>
    <s v="Max Engle"/>
    <x v="0"/>
    <s v="United States"/>
    <x v="279"/>
    <x v="25"/>
    <x v="0"/>
    <s v="FUR-CH-10001854"/>
    <s v="Furniture"/>
    <x v="1"/>
    <s v="Office Star - Professional Matrix Back Chair with 2-to-1 Synchro Tilt and Mesh Fabric Seat"/>
    <n v="701.96"/>
    <n v="2"/>
    <n v="168.47040000000001"/>
    <x v="0"/>
    <x v="5"/>
  </r>
  <r>
    <s v="CA-2017-107314"/>
    <x v="147"/>
    <d v="2017-12-03T00:00:00"/>
    <x v="2"/>
    <s v="MZ-17335"/>
    <s v="Maria Zettner"/>
    <x v="2"/>
    <s v="United States"/>
    <x v="28"/>
    <x v="2"/>
    <x v="1"/>
    <s v="FUR-FU-10003489"/>
    <s v="Furniture"/>
    <x v="3"/>
    <s v="Contemporary Borderless Frame"/>
    <n v="25.83"/>
    <n v="3"/>
    <n v="9.5571000000000002"/>
    <x v="0"/>
    <x v="0"/>
  </r>
  <r>
    <s v="CA-2016-163328"/>
    <x v="114"/>
    <d v="2016-11-06T00:00:00"/>
    <x v="0"/>
    <s v="TP-21565"/>
    <s v="Tracy Poddar"/>
    <x v="1"/>
    <s v="United States"/>
    <x v="298"/>
    <x v="36"/>
    <x v="1"/>
    <s v="FUR-CH-10003298"/>
    <s v="Furniture"/>
    <x v="1"/>
    <s v="Office Star - Contemporary Task Swivel chair with Loop Arms, Charcoal"/>
    <n v="104.78400000000001"/>
    <n v="1"/>
    <n v="-14.4078"/>
    <x v="3"/>
    <x v="0"/>
  </r>
  <r>
    <s v="CA-2016-163328"/>
    <x v="114"/>
    <d v="2016-11-06T00:00:00"/>
    <x v="0"/>
    <s v="TP-21565"/>
    <s v="Tracy Poddar"/>
    <x v="1"/>
    <s v="United States"/>
    <x v="298"/>
    <x v="36"/>
    <x v="1"/>
    <s v="FUR-CH-10000229"/>
    <s v="Furniture"/>
    <x v="1"/>
    <s v="Global Enterprise Series Seating High-Back Swivel/Tilt Chairs"/>
    <n v="650.35199999999998"/>
    <n v="3"/>
    <n v="-97.552800000000005"/>
    <x v="3"/>
    <x v="0"/>
  </r>
  <r>
    <s v="CA-2014-112837"/>
    <x v="701"/>
    <d v="2014-09-16T00:00:00"/>
    <x v="1"/>
    <s v="LW-17125"/>
    <s v="Liz Willingham"/>
    <x v="0"/>
    <s v="United States"/>
    <x v="299"/>
    <x v="2"/>
    <x v="1"/>
    <s v="FUR-FU-10004006"/>
    <s v="Furniture"/>
    <x v="3"/>
    <s v="Deflect-o DuraMat Lighweight, Studded, Beveled Mat for Low Pile Carpeting"/>
    <n v="127.95"/>
    <n v="3"/>
    <n v="21.7515"/>
    <x v="2"/>
    <x v="4"/>
  </r>
  <r>
    <s v="CA-2014-167927"/>
    <x v="187"/>
    <d v="2014-01-26T00:00:00"/>
    <x v="1"/>
    <s v="XP-21865"/>
    <s v="Xylona Preis"/>
    <x v="0"/>
    <s v="United States"/>
    <x v="300"/>
    <x v="17"/>
    <x v="3"/>
    <s v="FUR-FU-10002918"/>
    <s v="Furniture"/>
    <x v="3"/>
    <s v="Eldon ClusterMat Chair Mat with Cordless Antistatic Protection"/>
    <n v="272.94"/>
    <n v="3"/>
    <n v="30.023399999999999"/>
    <x v="6"/>
    <x v="8"/>
  </r>
  <r>
    <s v="CA-2014-167927"/>
    <x v="187"/>
    <d v="2014-01-26T00:00:00"/>
    <x v="1"/>
    <s v="XP-21865"/>
    <s v="Xylona Preis"/>
    <x v="0"/>
    <s v="United States"/>
    <x v="300"/>
    <x v="17"/>
    <x v="3"/>
    <s v="FUR-FU-10002268"/>
    <s v="Furniture"/>
    <x v="3"/>
    <s v="Ultra Door Push Plate"/>
    <n v="14.73"/>
    <n v="3"/>
    <n v="4.8609"/>
    <x v="6"/>
    <x v="8"/>
  </r>
  <r>
    <s v="CA-2016-165995"/>
    <x v="55"/>
    <d v="2016-09-06T00:00:00"/>
    <x v="1"/>
    <s v="BG-11740"/>
    <s v="Bruce Geld"/>
    <x v="0"/>
    <s v="United States"/>
    <x v="2"/>
    <x v="2"/>
    <x v="1"/>
    <s v="FUR-FU-10000672"/>
    <s v="Furniture"/>
    <x v="3"/>
    <s v="Executive Impressions 10&quot; Spectator Wall Clock"/>
    <n v="47.04"/>
    <n v="4"/>
    <n v="15.993600000000001"/>
    <x v="1"/>
    <x v="10"/>
  </r>
  <r>
    <s v="CA-2017-143112"/>
    <x v="702"/>
    <d v="2017-10-09T00:00:00"/>
    <x v="1"/>
    <s v="TS-21370"/>
    <s v="Todd Sumrall"/>
    <x v="1"/>
    <s v="United States"/>
    <x v="13"/>
    <x v="7"/>
    <x v="2"/>
    <s v="FUR-CH-10002880"/>
    <s v="Furniture"/>
    <x v="1"/>
    <s v="Global High-Back Leather Tilter, Burgundy"/>
    <n v="221.38200000000001"/>
    <n v="2"/>
    <n v="2.4598"/>
    <x v="4"/>
    <x v="1"/>
  </r>
  <r>
    <s v="CA-2017-161557"/>
    <x v="667"/>
    <d v="2017-09-08T00:00:00"/>
    <x v="1"/>
    <s v="AG-10900"/>
    <s v="Arthur Gainer"/>
    <x v="0"/>
    <s v="United States"/>
    <x v="144"/>
    <x v="5"/>
    <x v="3"/>
    <s v="FUR-FU-10004622"/>
    <s v="Furniture"/>
    <x v="3"/>
    <s v="Eldon Advantage Foldable Chair Mats for Low Pile Carpets"/>
    <n v="108.4"/>
    <n v="5"/>
    <n v="-105.69"/>
    <x v="2"/>
    <x v="4"/>
  </r>
  <r>
    <s v="CA-2016-103919"/>
    <x v="162"/>
    <d v="2016-10-07T00:00:00"/>
    <x v="1"/>
    <s v="TP-21565"/>
    <s v="Tracy Poddar"/>
    <x v="1"/>
    <s v="United States"/>
    <x v="141"/>
    <x v="5"/>
    <x v="3"/>
    <s v="FUR-FU-10001756"/>
    <s v="Furniture"/>
    <x v="3"/>
    <s v="Eldon Expressions Desk Accessory, Wood Photo Frame, Mahogany"/>
    <n v="38.08"/>
    <n v="5"/>
    <n v="-29.512"/>
    <x v="4"/>
    <x v="1"/>
  </r>
  <r>
    <s v="CA-2016-113425"/>
    <x v="431"/>
    <d v="2016-11-21T00:00:00"/>
    <x v="3"/>
    <s v="JK-16120"/>
    <s v="Julie Kriz"/>
    <x v="2"/>
    <s v="United States"/>
    <x v="13"/>
    <x v="7"/>
    <x v="2"/>
    <s v="FUR-BO-10002598"/>
    <s v="Furniture"/>
    <x v="0"/>
    <s v="Hon Metal Bookcases, Putty"/>
    <n v="113.568"/>
    <n v="2"/>
    <n v="12.776400000000001"/>
    <x v="7"/>
    <x v="0"/>
  </r>
  <r>
    <s v="CA-2017-143035"/>
    <x v="433"/>
    <d v="2017-10-05T00:00:00"/>
    <x v="0"/>
    <s v="CC-12430"/>
    <s v="Chuck Clark"/>
    <x v="2"/>
    <s v="United States"/>
    <x v="13"/>
    <x v="7"/>
    <x v="2"/>
    <s v="FUR-FU-10001934"/>
    <s v="Furniture"/>
    <x v="3"/>
    <s v="Magnifier Swing Arm Lamp"/>
    <n v="83.92"/>
    <n v="4"/>
    <n v="21.819199999999999"/>
    <x v="3"/>
    <x v="1"/>
  </r>
  <r>
    <s v="CA-2014-107811"/>
    <x v="149"/>
    <d v="2014-05-03T00:00:00"/>
    <x v="1"/>
    <s v="LA-16780"/>
    <s v="Laura Armstrong"/>
    <x v="1"/>
    <s v="United States"/>
    <x v="10"/>
    <x v="9"/>
    <x v="0"/>
    <s v="FUR-CH-10001394"/>
    <s v="Furniture"/>
    <x v="1"/>
    <s v="Global Leather Executive Chair"/>
    <n v="561.58399999999995"/>
    <n v="2"/>
    <n v="70.197999999999993"/>
    <x v="4"/>
    <x v="6"/>
  </r>
  <r>
    <s v="US-2016-116442"/>
    <x v="120"/>
    <d v="2016-12-22T00:00:00"/>
    <x v="1"/>
    <s v="BP-11230"/>
    <s v="Benjamin Patterson"/>
    <x v="0"/>
    <s v="United States"/>
    <x v="2"/>
    <x v="2"/>
    <x v="1"/>
    <s v="FUR-FU-10002364"/>
    <s v="Furniture"/>
    <x v="3"/>
    <s v="Eldon Expressions Wood Desk Accessories, Oak"/>
    <n v="14.76"/>
    <n v="2"/>
    <n v="4.2804000000000002"/>
    <x v="1"/>
    <x v="5"/>
  </r>
  <r>
    <s v="CA-2016-127236"/>
    <x v="477"/>
    <d v="2016-04-02T00:00:00"/>
    <x v="1"/>
    <s v="TB-21595"/>
    <s v="Troy Blackwell"/>
    <x v="0"/>
    <s v="United States"/>
    <x v="76"/>
    <x v="15"/>
    <x v="2"/>
    <s v="FUR-BO-10004015"/>
    <s v="Furniture"/>
    <x v="0"/>
    <s v="Bush Andora Bookcase, Maple/Graphite Gray Finish"/>
    <n v="299.97500000000002"/>
    <n v="5"/>
    <n v="-167.98599999999999"/>
    <x v="4"/>
    <x v="9"/>
  </r>
  <r>
    <s v="CA-2016-129126"/>
    <x v="469"/>
    <d v="2016-12-19T00:00:00"/>
    <x v="1"/>
    <s v="PK-19075"/>
    <s v="Pete Kriz"/>
    <x v="0"/>
    <s v="United States"/>
    <x v="13"/>
    <x v="7"/>
    <x v="2"/>
    <s v="FUR-FU-10002937"/>
    <s v="Furniture"/>
    <x v="3"/>
    <s v="GE 48&quot; Fluorescent Tube, Cool White Energy Saver, 34 Watts, 30/Box"/>
    <n v="396.92"/>
    <n v="4"/>
    <n v="198.46"/>
    <x v="2"/>
    <x v="5"/>
  </r>
  <r>
    <s v="CA-2017-125472"/>
    <x v="703"/>
    <d v="2017-05-31T00:00:00"/>
    <x v="2"/>
    <s v="BD-11725"/>
    <s v="Bruce Degenhardt"/>
    <x v="0"/>
    <s v="United States"/>
    <x v="120"/>
    <x v="35"/>
    <x v="0"/>
    <s v="FUR-BO-10000330"/>
    <s v="Furniture"/>
    <x v="0"/>
    <s v="Sauder Camden County Barrister Bookcase, Planked Cherry Finish"/>
    <n v="241.96"/>
    <n v="2"/>
    <n v="33.874400000000001"/>
    <x v="5"/>
    <x v="7"/>
  </r>
  <r>
    <s v="CA-2017-125472"/>
    <x v="703"/>
    <d v="2017-05-31T00:00:00"/>
    <x v="2"/>
    <s v="BD-11725"/>
    <s v="Bruce Degenhardt"/>
    <x v="0"/>
    <s v="United States"/>
    <x v="120"/>
    <x v="35"/>
    <x v="0"/>
    <s v="FUR-FU-10001731"/>
    <s v="Furniture"/>
    <x v="3"/>
    <s v="Acrylic Self-Standing Desk Frames"/>
    <n v="8.01"/>
    <n v="3"/>
    <n v="3.0438000000000001"/>
    <x v="5"/>
    <x v="7"/>
  </r>
  <r>
    <s v="CA-2017-154074"/>
    <x v="704"/>
    <d v="2017-09-02T00:00:00"/>
    <x v="0"/>
    <s v="BW-11110"/>
    <s v="Bart Watters"/>
    <x v="1"/>
    <s v="United States"/>
    <x v="129"/>
    <x v="13"/>
    <x v="1"/>
    <s v="FUR-CH-10002331"/>
    <s v="Furniture"/>
    <x v="1"/>
    <s v="Hon 4700 Series Mobuis Mid-Back Task Chairs with Adjustable Arms"/>
    <n v="569.56799999999998"/>
    <n v="2"/>
    <n v="7.1196000000000002"/>
    <x v="3"/>
    <x v="10"/>
  </r>
  <r>
    <s v="CA-2017-161774"/>
    <x v="138"/>
    <d v="2017-05-15T00:00:00"/>
    <x v="2"/>
    <s v="GT-14710"/>
    <s v="Greg Tran"/>
    <x v="0"/>
    <s v="United States"/>
    <x v="6"/>
    <x v="5"/>
    <x v="3"/>
    <s v="FUR-CH-10003981"/>
    <s v="Furniture"/>
    <x v="1"/>
    <s v="Global Commerce Series Low-Back Swivel/Tilt Chairs"/>
    <n v="899.43"/>
    <n v="5"/>
    <n v="-12.849"/>
    <x v="5"/>
    <x v="7"/>
  </r>
  <r>
    <s v="CA-2016-140130"/>
    <x v="359"/>
    <d v="2016-11-05T00:00:00"/>
    <x v="1"/>
    <s v="HW-14935"/>
    <s v="Helen Wasserman"/>
    <x v="1"/>
    <s v="United States"/>
    <x v="169"/>
    <x v="37"/>
    <x v="3"/>
    <s v="FUR-CH-10002084"/>
    <s v="Furniture"/>
    <x v="1"/>
    <s v="Hon Mobius Operator's Chair"/>
    <n v="368.97"/>
    <n v="3"/>
    <n v="81.173400000000001"/>
    <x v="2"/>
    <x v="1"/>
  </r>
  <r>
    <s v="CA-2015-149650"/>
    <x v="634"/>
    <d v="2015-10-27T00:00:00"/>
    <x v="2"/>
    <s v="RD-19660"/>
    <s v="Robert Dilbeck"/>
    <x v="2"/>
    <s v="United States"/>
    <x v="121"/>
    <x v="2"/>
    <x v="1"/>
    <s v="FUR-CH-10003956"/>
    <s v="Furniture"/>
    <x v="1"/>
    <s v="Novimex High-Tech Fabric Mesh Task Chair"/>
    <n v="454.27199999999999"/>
    <n v="8"/>
    <n v="-73.819199999999995"/>
    <x v="0"/>
    <x v="1"/>
  </r>
  <r>
    <s v="CA-2014-165764"/>
    <x v="705"/>
    <d v="2014-11-07T00:00:00"/>
    <x v="1"/>
    <s v="SH-20395"/>
    <s v="Shahid Hopkins"/>
    <x v="0"/>
    <s v="United States"/>
    <x v="51"/>
    <x v="30"/>
    <x v="0"/>
    <s v="FUR-TA-10001768"/>
    <s v="Furniture"/>
    <x v="2"/>
    <s v="Hon Racetrack Conference Tables"/>
    <n v="945.03599999999994"/>
    <n v="6"/>
    <n v="-299.26139999999998"/>
    <x v="4"/>
    <x v="0"/>
  </r>
  <r>
    <s v="CA-2014-165764"/>
    <x v="705"/>
    <d v="2014-11-07T00:00:00"/>
    <x v="1"/>
    <s v="SH-20395"/>
    <s v="Shahid Hopkins"/>
    <x v="0"/>
    <s v="United States"/>
    <x v="51"/>
    <x v="30"/>
    <x v="0"/>
    <s v="FUR-FU-10001468"/>
    <s v="Furniture"/>
    <x v="3"/>
    <s v="Tenex Antistatic Computer Chair Mats"/>
    <n v="410.35199999999998"/>
    <n v="3"/>
    <n v="-51.293999999999997"/>
    <x v="4"/>
    <x v="0"/>
  </r>
  <r>
    <s v="US-2017-116897"/>
    <x v="706"/>
    <d v="2017-05-29T00:00:00"/>
    <x v="2"/>
    <s v="JG-15160"/>
    <s v="James Galang"/>
    <x v="0"/>
    <s v="United States"/>
    <x v="280"/>
    <x v="42"/>
    <x v="1"/>
    <s v="FUR-FU-10004963"/>
    <s v="Furniture"/>
    <x v="3"/>
    <s v="Eldon 400 Class Desk Accessories, Black Carbon"/>
    <n v="35"/>
    <n v="4"/>
    <n v="14.7"/>
    <x v="3"/>
    <x v="7"/>
  </r>
  <r>
    <s v="US-2017-113992"/>
    <x v="417"/>
    <d v="2017-12-19T00:00:00"/>
    <x v="1"/>
    <s v="LC-16885"/>
    <s v="Lena Creighton"/>
    <x v="0"/>
    <s v="United States"/>
    <x v="215"/>
    <x v="5"/>
    <x v="3"/>
    <s v="FUR-TA-10000577"/>
    <s v="Furniture"/>
    <x v="2"/>
    <s v="Bretford CR4500 Series Slim Rectangular Table"/>
    <n v="974.98800000000006"/>
    <n v="4"/>
    <n v="-97.498800000000003"/>
    <x v="2"/>
    <x v="5"/>
  </r>
  <r>
    <s v="CA-2014-166891"/>
    <x v="707"/>
    <d v="2014-10-06T00:00:00"/>
    <x v="2"/>
    <s v="CC-12220"/>
    <s v="Chris Cortes"/>
    <x v="0"/>
    <s v="United States"/>
    <x v="13"/>
    <x v="7"/>
    <x v="2"/>
    <s v="FUR-CH-10003298"/>
    <s v="Furniture"/>
    <x v="1"/>
    <s v="Office Star - Contemporary Task Swivel chair with Loop Arms, Charcoal"/>
    <n v="589.41"/>
    <n v="5"/>
    <n v="-6.5490000000000004"/>
    <x v="3"/>
    <x v="1"/>
  </r>
  <r>
    <s v="CA-2016-101161"/>
    <x v="25"/>
    <d v="2016-10-20T00:00:00"/>
    <x v="1"/>
    <s v="BW-11110"/>
    <s v="Bart Watters"/>
    <x v="1"/>
    <s v="United States"/>
    <x v="13"/>
    <x v="7"/>
    <x v="2"/>
    <s v="FUR-FU-10003535"/>
    <s v="Furniture"/>
    <x v="3"/>
    <s v="Howard Miller Distant Time Traveler Alarm Clock"/>
    <n v="82.26"/>
    <n v="3"/>
    <n v="33.726599999999998"/>
    <x v="1"/>
    <x v="1"/>
  </r>
  <r>
    <s v="US-2017-119816"/>
    <x v="708"/>
    <d v="2017-03-06T00:00:00"/>
    <x v="0"/>
    <s v="TT-21460"/>
    <s v="Tonja Turnell"/>
    <x v="2"/>
    <s v="United States"/>
    <x v="6"/>
    <x v="5"/>
    <x v="3"/>
    <s v="FUR-FU-10004848"/>
    <s v="Furniture"/>
    <x v="3"/>
    <s v="Howard Miller 13-3/4&quot; Diameter Brushed Chrome Round Wall Clock"/>
    <n v="103.5"/>
    <n v="5"/>
    <n v="-77.625"/>
    <x v="3"/>
    <x v="9"/>
  </r>
  <r>
    <s v="CA-2017-161102"/>
    <x v="709"/>
    <d v="2017-08-03T00:00:00"/>
    <x v="2"/>
    <s v="EC-14050"/>
    <s v="Erin Creighton"/>
    <x v="0"/>
    <s v="United States"/>
    <x v="28"/>
    <x v="2"/>
    <x v="1"/>
    <s v="FUR-FU-10003142"/>
    <s v="Furniture"/>
    <x v="3"/>
    <s v="Master Big Foot Doorstop, Beige"/>
    <n v="36.96"/>
    <n v="7"/>
    <n v="11.457599999999999"/>
    <x v="0"/>
    <x v="3"/>
  </r>
  <r>
    <s v="US-2017-133361"/>
    <x v="138"/>
    <d v="2017-05-17T00:00:00"/>
    <x v="2"/>
    <s v="AJ-10780"/>
    <s v="Anthony Jacobs"/>
    <x v="1"/>
    <s v="United States"/>
    <x v="237"/>
    <x v="32"/>
    <x v="2"/>
    <s v="FUR-CH-10003298"/>
    <s v="Furniture"/>
    <x v="1"/>
    <s v="Office Star - Contemporary Task Swivel chair with Loop Arms, Charcoal"/>
    <n v="261.95999999999998"/>
    <n v="2"/>
    <n v="23.5764"/>
    <x v="0"/>
    <x v="7"/>
  </r>
  <r>
    <s v="US-2016-155404"/>
    <x v="710"/>
    <d v="2016-09-28T00:00:00"/>
    <x v="1"/>
    <s v="AS-10630"/>
    <s v="Ann Steele"/>
    <x v="2"/>
    <s v="United States"/>
    <x v="74"/>
    <x v="0"/>
    <x v="0"/>
    <s v="FUR-FU-10004586"/>
    <s v="Furniture"/>
    <x v="3"/>
    <s v="G.E. Longer-Life Indoor Recessed Floodlight Bulbs"/>
    <n v="13.28"/>
    <n v="2"/>
    <n v="6.3743999999999996"/>
    <x v="6"/>
    <x v="4"/>
  </r>
  <r>
    <s v="CA-2016-163804"/>
    <x v="674"/>
    <d v="2016-12-08T00:00:00"/>
    <x v="1"/>
    <s v="DB-13270"/>
    <s v="Deborah Brumfield"/>
    <x v="2"/>
    <s v="United States"/>
    <x v="134"/>
    <x v="38"/>
    <x v="2"/>
    <s v="FUR-FU-10004864"/>
    <s v="Furniture"/>
    <x v="3"/>
    <s v="Eldon 500 Class Desk Accessories"/>
    <n v="72.42"/>
    <n v="6"/>
    <n v="23.898599999999998"/>
    <x v="6"/>
    <x v="5"/>
  </r>
  <r>
    <s v="CA-2014-149524"/>
    <x v="711"/>
    <d v="2014-01-15T00:00:00"/>
    <x v="2"/>
    <s v="BS-11590"/>
    <s v="Brendan Sweed"/>
    <x v="1"/>
    <s v="United States"/>
    <x v="3"/>
    <x v="3"/>
    <x v="2"/>
    <s v="FUR-BO-10003433"/>
    <s v="Furniture"/>
    <x v="0"/>
    <s v="Sauder Cornerstone Collection Library"/>
    <n v="61.96"/>
    <n v="4"/>
    <n v="-53.285600000000002"/>
    <x v="5"/>
    <x v="8"/>
  </r>
  <r>
    <s v="CA-2017-140872"/>
    <x v="35"/>
    <d v="2017-06-10T00:00:00"/>
    <x v="1"/>
    <s v="NR-18550"/>
    <s v="Nick Radford"/>
    <x v="0"/>
    <s v="United States"/>
    <x v="36"/>
    <x v="1"/>
    <x v="0"/>
    <s v="FUR-BO-10002824"/>
    <s v="Furniture"/>
    <x v="0"/>
    <s v="Bush Mission Pointe Library"/>
    <n v="241.56800000000001"/>
    <n v="2"/>
    <n v="0"/>
    <x v="1"/>
    <x v="2"/>
  </r>
  <r>
    <s v="CA-2017-113908"/>
    <x v="35"/>
    <d v="2017-06-09T00:00:00"/>
    <x v="1"/>
    <s v="KN-16390"/>
    <s v="Katherine Nockton"/>
    <x v="1"/>
    <s v="United States"/>
    <x v="13"/>
    <x v="7"/>
    <x v="2"/>
    <s v="FUR-TA-10001932"/>
    <s v="Furniture"/>
    <x v="2"/>
    <s v="Chromcraft 48&quot; x 96&quot; Racetrack Double Pedestal Table"/>
    <n v="384.76799999999997"/>
    <n v="2"/>
    <n v="-115.43040000000001"/>
    <x v="6"/>
    <x v="2"/>
  </r>
  <r>
    <s v="CA-2014-149594"/>
    <x v="712"/>
    <d v="2014-09-19T00:00:00"/>
    <x v="1"/>
    <s v="MF-18250"/>
    <s v="Monica Federle"/>
    <x v="1"/>
    <s v="United States"/>
    <x v="3"/>
    <x v="3"/>
    <x v="2"/>
    <s v="FUR-FU-10000222"/>
    <s v="Furniture"/>
    <x v="3"/>
    <s v="Seth Thomas 16&quot; Steel Case Clock"/>
    <n v="103.93600000000001"/>
    <n v="4"/>
    <n v="16.889600000000002"/>
    <x v="4"/>
    <x v="4"/>
  </r>
  <r>
    <s v="CA-2016-113845"/>
    <x v="47"/>
    <d v="2016-11-25T00:00:00"/>
    <x v="1"/>
    <s v="FA-14230"/>
    <s v="Frank Atkinson"/>
    <x v="1"/>
    <s v="United States"/>
    <x v="301"/>
    <x v="1"/>
    <x v="0"/>
    <s v="FUR-BO-10004695"/>
    <s v="Furniture"/>
    <x v="0"/>
    <s v="O'Sullivan 2-Door Barrister Bookcase in Odessa Pine"/>
    <n v="289.56799999999998"/>
    <n v="2"/>
    <n v="10.8588"/>
    <x v="2"/>
    <x v="0"/>
  </r>
  <r>
    <s v="CA-2015-103135"/>
    <x v="713"/>
    <d v="2015-07-28T00:00:00"/>
    <x v="1"/>
    <s v="SS-20515"/>
    <s v="Shirley Schmidt"/>
    <x v="2"/>
    <s v="United States"/>
    <x v="74"/>
    <x v="0"/>
    <x v="0"/>
    <s v="FUR-FU-10001487"/>
    <s v="Furniture"/>
    <x v="3"/>
    <s v="Eldon Expressions Wood and Plastic Desk Accessories, Cherry Wood"/>
    <n v="20.94"/>
    <n v="3"/>
    <n v="6.0726000000000004"/>
    <x v="4"/>
    <x v="3"/>
  </r>
  <r>
    <s v="US-2016-128909"/>
    <x v="714"/>
    <d v="2016-10-11T00:00:00"/>
    <x v="0"/>
    <s v="SP-20545"/>
    <s v="Sibella Parks"/>
    <x v="1"/>
    <s v="United States"/>
    <x v="3"/>
    <x v="3"/>
    <x v="2"/>
    <s v="FUR-FU-10004071"/>
    <s v="Furniture"/>
    <x v="3"/>
    <s v="Luxo Professional Magnifying Clamp-On Fluorescent Lamps"/>
    <n v="332.83199999999999"/>
    <n v="4"/>
    <n v="-24.962399999999999"/>
    <x v="3"/>
    <x v="1"/>
  </r>
  <r>
    <s v="US-2017-116652"/>
    <x v="102"/>
    <d v="2017-09-19T00:00:00"/>
    <x v="1"/>
    <s v="RD-19480"/>
    <s v="Rick Duston"/>
    <x v="0"/>
    <s v="United States"/>
    <x v="28"/>
    <x v="2"/>
    <x v="1"/>
    <s v="FUR-CH-10002961"/>
    <s v="Furniture"/>
    <x v="1"/>
    <s v="Leather Task Chair, Black"/>
    <n v="218.352"/>
    <n v="3"/>
    <n v="0"/>
    <x v="4"/>
    <x v="4"/>
  </r>
  <r>
    <s v="US-2017-116652"/>
    <x v="102"/>
    <d v="2017-09-19T00:00:00"/>
    <x v="1"/>
    <s v="RD-19480"/>
    <s v="Rick Duston"/>
    <x v="0"/>
    <s v="United States"/>
    <x v="28"/>
    <x v="2"/>
    <x v="1"/>
    <s v="FUR-FU-10001488"/>
    <s v="Furniture"/>
    <x v="3"/>
    <s v="Tenex 46&quot; x 60&quot; Computer Anti-Static Chairmat, Rectangular Shaped"/>
    <n v="529.9"/>
    <n v="5"/>
    <n v="105.98"/>
    <x v="4"/>
    <x v="4"/>
  </r>
  <r>
    <s v="CA-2017-138289"/>
    <x v="623"/>
    <d v="2017-01-18T00:00:00"/>
    <x v="0"/>
    <s v="AR-10540"/>
    <s v="Andy Reiter"/>
    <x v="0"/>
    <s v="United States"/>
    <x v="38"/>
    <x v="17"/>
    <x v="3"/>
    <s v="FUR-CH-10004626"/>
    <s v="Furniture"/>
    <x v="1"/>
    <s v="Office Star Flex Back Scooter Chair with Aluminum Finish Frame"/>
    <n v="302.67"/>
    <n v="3"/>
    <n v="72.640799999999999"/>
    <x v="3"/>
    <x v="8"/>
  </r>
  <r>
    <s v="CA-2014-128209"/>
    <x v="317"/>
    <d v="2014-11-22T00:00:00"/>
    <x v="1"/>
    <s v="GT-14710"/>
    <s v="Greg Tran"/>
    <x v="0"/>
    <s v="United States"/>
    <x v="252"/>
    <x v="7"/>
    <x v="2"/>
    <s v="FUR-BO-10002213"/>
    <s v="Furniture"/>
    <x v="0"/>
    <s v="DMI Eclipse Executive Suite Bookcases"/>
    <n v="4007.84"/>
    <n v="10"/>
    <n v="-50.097999999999999"/>
    <x v="2"/>
    <x v="0"/>
  </r>
  <r>
    <s v="CA-2014-169684"/>
    <x v="715"/>
    <d v="2014-10-23T00:00:00"/>
    <x v="2"/>
    <s v="FH-14365"/>
    <s v="Fred Hopkins"/>
    <x v="1"/>
    <s v="United States"/>
    <x v="270"/>
    <x v="9"/>
    <x v="0"/>
    <s v="FUR-TA-10003008"/>
    <s v="Furniture"/>
    <x v="2"/>
    <s v="Lesro Round Back Collection Coffee Table, End Table"/>
    <n v="328.59"/>
    <n v="3"/>
    <n v="-147.8655"/>
    <x v="0"/>
    <x v="1"/>
  </r>
  <r>
    <s v="CA-2015-109862"/>
    <x v="551"/>
    <d v="2015-10-30T00:00:00"/>
    <x v="1"/>
    <s v="HK-14890"/>
    <s v="Heather Kirkland"/>
    <x v="1"/>
    <s v="United States"/>
    <x v="19"/>
    <x v="14"/>
    <x v="2"/>
    <s v="FUR-CH-10002439"/>
    <s v="Furniture"/>
    <x v="1"/>
    <s v="Iceberg Nesting Folding Chair, 19w x 6d x 43h"/>
    <n v="291.10000000000002"/>
    <n v="5"/>
    <n v="75.686000000000007"/>
    <x v="2"/>
    <x v="1"/>
  </r>
  <r>
    <s v="US-2017-107888"/>
    <x v="716"/>
    <d v="2017-11-19T00:00:00"/>
    <x v="2"/>
    <s v="CC-12220"/>
    <s v="Chris Cortes"/>
    <x v="0"/>
    <s v="United States"/>
    <x v="15"/>
    <x v="13"/>
    <x v="1"/>
    <s v="FUR-FU-10003394"/>
    <s v="Furniture"/>
    <x v="3"/>
    <s v="Tenex &quot;The Solids&quot; Textured Chair Mats"/>
    <n v="139.91999999999999"/>
    <n v="2"/>
    <n v="23.7864"/>
    <x v="0"/>
    <x v="0"/>
  </r>
  <r>
    <s v="CA-2014-113880"/>
    <x v="29"/>
    <d v="2014-03-05T00:00:00"/>
    <x v="1"/>
    <s v="VF-21715"/>
    <s v="Vicky Freymann"/>
    <x v="2"/>
    <s v="United States"/>
    <x v="302"/>
    <x v="8"/>
    <x v="3"/>
    <s v="FUR-CH-10000863"/>
    <s v="Furniture"/>
    <x v="1"/>
    <s v="Novimex Swivel Fabric Task Chair"/>
    <n v="634.11599999999999"/>
    <n v="6"/>
    <n v="-172.1172"/>
    <x v="4"/>
    <x v="9"/>
  </r>
  <r>
    <s v="US-2015-164966"/>
    <x v="45"/>
    <d v="2015-08-01T00:00:00"/>
    <x v="2"/>
    <s v="GH-14410"/>
    <s v="Gary Hansen"/>
    <x v="2"/>
    <s v="United States"/>
    <x v="27"/>
    <x v="11"/>
    <x v="3"/>
    <s v="FUR-CH-10002304"/>
    <s v="Furniture"/>
    <x v="1"/>
    <s v="Global Stack Chair without Arms, Black"/>
    <n v="155.88"/>
    <n v="6"/>
    <n v="38.97"/>
    <x v="3"/>
    <x v="3"/>
  </r>
  <r>
    <s v="CA-2015-126739"/>
    <x v="341"/>
    <d v="2015-11-03T00:00:00"/>
    <x v="0"/>
    <s v="JH-16180"/>
    <s v="Justin Hirsh"/>
    <x v="0"/>
    <s v="United States"/>
    <x v="13"/>
    <x v="7"/>
    <x v="2"/>
    <s v="FUR-CH-10000422"/>
    <s v="Furniture"/>
    <x v="1"/>
    <s v="Global Highback Leather Tilter in Burgundy"/>
    <n v="327.56400000000002"/>
    <n v="4"/>
    <n v="21.837599999999998"/>
    <x v="3"/>
    <x v="0"/>
  </r>
  <r>
    <s v="CA-2015-166947"/>
    <x v="717"/>
    <d v="2015-06-10T00:00:00"/>
    <x v="1"/>
    <s v="EB-13750"/>
    <s v="Edward Becker"/>
    <x v="1"/>
    <s v="United States"/>
    <x v="252"/>
    <x v="7"/>
    <x v="2"/>
    <s v="FUR-CH-10004997"/>
    <s v="Furniture"/>
    <x v="1"/>
    <s v="Hon Every-Day Series Multi-Task Chairs"/>
    <n v="1522.6379999999999"/>
    <n v="9"/>
    <n v="169.18199999999999"/>
    <x v="2"/>
    <x v="2"/>
  </r>
  <r>
    <s v="CA-2014-166086"/>
    <x v="718"/>
    <d v="2014-05-12T00:00:00"/>
    <x v="1"/>
    <s v="CT-11995"/>
    <s v="Carol Triggs"/>
    <x v="0"/>
    <s v="United States"/>
    <x v="37"/>
    <x v="20"/>
    <x v="2"/>
    <s v="FUR-TA-10003469"/>
    <s v="Furniture"/>
    <x v="2"/>
    <s v="Balt Split Level Computer Training Table"/>
    <n v="194.25"/>
    <n v="2"/>
    <n v="-38.85"/>
    <x v="2"/>
    <x v="7"/>
  </r>
  <r>
    <s v="CA-2014-166086"/>
    <x v="718"/>
    <d v="2014-05-12T00:00:00"/>
    <x v="1"/>
    <s v="CT-11995"/>
    <s v="Carol Triggs"/>
    <x v="0"/>
    <s v="United States"/>
    <x v="37"/>
    <x v="20"/>
    <x v="2"/>
    <s v="FUR-CH-10004675"/>
    <s v="Furniture"/>
    <x v="1"/>
    <s v="Lifetime Advantage Folding Chairs, 4/Carton"/>
    <n v="872.32"/>
    <n v="4"/>
    <n v="244.24959999999999"/>
    <x v="2"/>
    <x v="7"/>
  </r>
  <r>
    <s v="CA-2014-100678"/>
    <x v="719"/>
    <d v="2014-04-22T00:00:00"/>
    <x v="1"/>
    <s v="KM-16720"/>
    <s v="Kunst Miller"/>
    <x v="0"/>
    <s v="United States"/>
    <x v="6"/>
    <x v="5"/>
    <x v="3"/>
    <s v="FUR-CH-10002602"/>
    <s v="Furniture"/>
    <x v="1"/>
    <s v="DMI Arturo Collection Mission-style Design Wood Chair"/>
    <n v="317.05799999999999"/>
    <n v="3"/>
    <n v="-18.117599999999999"/>
    <x v="4"/>
    <x v="6"/>
  </r>
  <r>
    <s v="CA-2017-123085"/>
    <x v="470"/>
    <d v="2017-03-08T00:00:00"/>
    <x v="1"/>
    <s v="EJ-13720"/>
    <s v="Ed Jacobs"/>
    <x v="0"/>
    <s v="United States"/>
    <x v="2"/>
    <x v="2"/>
    <x v="1"/>
    <s v="FUR-CH-10003968"/>
    <s v="Furniture"/>
    <x v="1"/>
    <s v="Novimex Turbo Task Chair"/>
    <n v="170.352"/>
    <n v="3"/>
    <n v="-17.0352"/>
    <x v="2"/>
    <x v="9"/>
  </r>
  <r>
    <s v="CA-2016-169887"/>
    <x v="148"/>
    <d v="2016-10-22T00:00:00"/>
    <x v="3"/>
    <s v="MS-17530"/>
    <s v="MaryBeth Skach"/>
    <x v="0"/>
    <s v="United States"/>
    <x v="15"/>
    <x v="13"/>
    <x v="1"/>
    <s v="FUR-FU-10003095"/>
    <s v="Furniture"/>
    <x v="3"/>
    <s v="Linden 12&quot; Wall Clock With Oak Frame"/>
    <n v="101.94"/>
    <n v="3"/>
    <n v="30.582000000000001"/>
    <x v="7"/>
    <x v="1"/>
  </r>
  <r>
    <s v="CA-2017-104731"/>
    <x v="720"/>
    <d v="2017-07-27T00:00:00"/>
    <x v="1"/>
    <s v="AM-10705"/>
    <s v="Anne McFarland"/>
    <x v="0"/>
    <s v="United States"/>
    <x v="279"/>
    <x v="25"/>
    <x v="0"/>
    <s v="FUR-FU-10003274"/>
    <s v="Furniture"/>
    <x v="3"/>
    <s v="Regeneration Desk Collection"/>
    <n v="8.8000000000000007"/>
    <n v="5"/>
    <n v="3.8719999999999999"/>
    <x v="6"/>
    <x v="3"/>
  </r>
  <r>
    <s v="CA-2017-104731"/>
    <x v="720"/>
    <d v="2017-07-27T00:00:00"/>
    <x v="1"/>
    <s v="AM-10705"/>
    <s v="Anne McFarland"/>
    <x v="0"/>
    <s v="United States"/>
    <x v="279"/>
    <x v="25"/>
    <x v="0"/>
    <s v="FUR-BO-10003441"/>
    <s v="Furniture"/>
    <x v="0"/>
    <s v="Bush Westfield Collection Bookcases, Fully Assembled"/>
    <n v="302.94"/>
    <n v="3"/>
    <n v="69.676199999999994"/>
    <x v="6"/>
    <x v="3"/>
  </r>
  <r>
    <s v="CA-2014-154095"/>
    <x v="116"/>
    <d v="2014-12-07T00:00:00"/>
    <x v="1"/>
    <s v="ON-18715"/>
    <s v="Odella Nelson"/>
    <x v="1"/>
    <s v="United States"/>
    <x v="218"/>
    <x v="32"/>
    <x v="2"/>
    <s v="FUR-FU-10003849"/>
    <s v="Furniture"/>
    <x v="3"/>
    <s v="DAX Metal Frame, Desktop, Stepped-Edge"/>
    <n v="60.72"/>
    <n v="3"/>
    <n v="23.680800000000001"/>
    <x v="2"/>
    <x v="5"/>
  </r>
  <r>
    <s v="CA-2014-154095"/>
    <x v="116"/>
    <d v="2014-12-07T00:00:00"/>
    <x v="1"/>
    <s v="ON-18715"/>
    <s v="Odella Nelson"/>
    <x v="1"/>
    <s v="United States"/>
    <x v="218"/>
    <x v="32"/>
    <x v="2"/>
    <s v="FUR-CH-10004754"/>
    <s v="Furniture"/>
    <x v="1"/>
    <s v="Global Stack Chair with Arms, Black"/>
    <n v="239.84"/>
    <n v="8"/>
    <n v="64.756799999999998"/>
    <x v="2"/>
    <x v="5"/>
  </r>
  <r>
    <s v="CA-2016-148852"/>
    <x v="205"/>
    <d v="2016-05-31T00:00:00"/>
    <x v="1"/>
    <s v="SV-20785"/>
    <s v="Stewart Visinsky"/>
    <x v="0"/>
    <s v="United States"/>
    <x v="72"/>
    <x v="2"/>
    <x v="1"/>
    <s v="FUR-CH-10004860"/>
    <s v="Furniture"/>
    <x v="1"/>
    <s v="Global Low Back Tilter Chair"/>
    <n v="484.70400000000001"/>
    <n v="6"/>
    <n v="-84.8232"/>
    <x v="2"/>
    <x v="7"/>
  </r>
  <r>
    <s v="CA-2015-107678"/>
    <x v="721"/>
    <d v="2015-04-28T00:00:00"/>
    <x v="1"/>
    <s v="JK-16090"/>
    <s v="Juliana Krohn"/>
    <x v="0"/>
    <s v="United States"/>
    <x v="74"/>
    <x v="0"/>
    <x v="0"/>
    <s v="FUR-CH-10001891"/>
    <s v="Furniture"/>
    <x v="1"/>
    <s v="Global Deluxe Office Fabric Chairs"/>
    <n v="191.96"/>
    <n v="2"/>
    <n v="51.8292"/>
    <x v="1"/>
    <x v="6"/>
  </r>
  <r>
    <s v="CA-2015-107678"/>
    <x v="721"/>
    <d v="2015-04-28T00:00:00"/>
    <x v="1"/>
    <s v="JK-16090"/>
    <s v="Juliana Krohn"/>
    <x v="0"/>
    <s v="United States"/>
    <x v="74"/>
    <x v="0"/>
    <x v="0"/>
    <s v="FUR-FU-10003394"/>
    <s v="Furniture"/>
    <x v="3"/>
    <s v="Tenex &quot;The Solids&quot; Textured Chair Mats"/>
    <n v="209.88"/>
    <n v="3"/>
    <n v="35.679600000000001"/>
    <x v="1"/>
    <x v="6"/>
  </r>
  <r>
    <s v="CA-2016-123512"/>
    <x v="9"/>
    <d v="2016-06-19T00:00:00"/>
    <x v="2"/>
    <s v="MV-18190"/>
    <s v="Mike Vittorini"/>
    <x v="0"/>
    <s v="United States"/>
    <x v="2"/>
    <x v="2"/>
    <x v="1"/>
    <s v="FUR-BO-10004218"/>
    <s v="Furniture"/>
    <x v="0"/>
    <s v="Bush Heritage Pine Collection 5-Shelf Bookcase, Albany Pine Finish, *Special Order"/>
    <n v="239.666"/>
    <n v="2"/>
    <n v="14.098000000000001"/>
    <x v="3"/>
    <x v="2"/>
  </r>
  <r>
    <s v="US-2017-167402"/>
    <x v="722"/>
    <d v="2017-01-18T00:00:00"/>
    <x v="0"/>
    <s v="CP-12085"/>
    <s v="Cathy Prescott"/>
    <x v="1"/>
    <s v="United States"/>
    <x v="76"/>
    <x v="23"/>
    <x v="3"/>
    <s v="FUR-BO-10001608"/>
    <s v="Furniture"/>
    <x v="0"/>
    <s v="Hon Metal Bookcases, Black"/>
    <n v="212.94"/>
    <n v="3"/>
    <n v="53.234999999999999"/>
    <x v="2"/>
    <x v="8"/>
  </r>
  <r>
    <s v="CA-2014-130449"/>
    <x v="723"/>
    <d v="2014-09-09T00:00:00"/>
    <x v="2"/>
    <s v="VP-21760"/>
    <s v="Victoria Pisteka"/>
    <x v="1"/>
    <s v="United States"/>
    <x v="28"/>
    <x v="2"/>
    <x v="1"/>
    <s v="FUR-FU-10001487"/>
    <s v="Furniture"/>
    <x v="3"/>
    <s v="Eldon Expressions Wood and Plastic Desk Accessories, Cherry Wood"/>
    <n v="41.88"/>
    <n v="6"/>
    <n v="12.145200000000001"/>
    <x v="0"/>
    <x v="4"/>
  </r>
  <r>
    <s v="CA-2015-141250"/>
    <x v="724"/>
    <d v="2015-01-23T00:00:00"/>
    <x v="1"/>
    <s v="PM-18940"/>
    <s v="Paul MacIntyre"/>
    <x v="0"/>
    <s v="United States"/>
    <x v="303"/>
    <x v="5"/>
    <x v="3"/>
    <s v="FUR-TA-10002855"/>
    <s v="Furniture"/>
    <x v="2"/>
    <s v="Bevis Round Conference Table Top &amp; Single Column Base"/>
    <n v="102.438"/>
    <n v="1"/>
    <n v="-13.1706"/>
    <x v="4"/>
    <x v="8"/>
  </r>
  <r>
    <s v="CA-2015-141250"/>
    <x v="724"/>
    <d v="2015-01-23T00:00:00"/>
    <x v="1"/>
    <s v="PM-18940"/>
    <s v="Paul MacIntyre"/>
    <x v="0"/>
    <s v="United States"/>
    <x v="303"/>
    <x v="5"/>
    <x v="3"/>
    <s v="FUR-CH-10004875"/>
    <s v="Furniture"/>
    <x v="1"/>
    <s v="Harbour Creations 67200 Series Stacking Chairs"/>
    <n v="199.304"/>
    <n v="4"/>
    <n v="-8.5416000000000007"/>
    <x v="4"/>
    <x v="8"/>
  </r>
  <r>
    <s v="CA-2016-105081"/>
    <x v="683"/>
    <d v="2016-12-30T00:00:00"/>
    <x v="1"/>
    <s v="JE-15715"/>
    <s v="Joe Elijah"/>
    <x v="0"/>
    <s v="United States"/>
    <x v="15"/>
    <x v="13"/>
    <x v="1"/>
    <s v="FUR-CH-10000847"/>
    <s v="Furniture"/>
    <x v="1"/>
    <s v="Global Executive Mid-Back Manager's Chair"/>
    <n v="698.35199999999998"/>
    <n v="3"/>
    <n v="52.376399999999997"/>
    <x v="2"/>
    <x v="5"/>
  </r>
  <r>
    <s v="CA-2016-105081"/>
    <x v="683"/>
    <d v="2016-12-30T00:00:00"/>
    <x v="1"/>
    <s v="JE-15715"/>
    <s v="Joe Elijah"/>
    <x v="0"/>
    <s v="United States"/>
    <x v="15"/>
    <x v="13"/>
    <x v="1"/>
    <s v="FUR-TA-10001307"/>
    <s v="Furniture"/>
    <x v="2"/>
    <s v="SAFCO PlanMaster Heigh-Adjustable Drafting Table Base, 43w x 30d x 30-37h, Black"/>
    <n v="1747.25"/>
    <n v="5"/>
    <n v="629.01"/>
    <x v="2"/>
    <x v="5"/>
  </r>
  <r>
    <s v="CA-2014-108609"/>
    <x v="314"/>
    <d v="2014-11-02T00:00:00"/>
    <x v="0"/>
    <s v="AJ-10780"/>
    <s v="Anthony Jacobs"/>
    <x v="1"/>
    <s v="United States"/>
    <x v="75"/>
    <x v="15"/>
    <x v="2"/>
    <s v="FUR-TA-10003954"/>
    <s v="Furniture"/>
    <x v="2"/>
    <s v="Hon 94000 Series Round Tables"/>
    <n v="1421.664"/>
    <n v="8"/>
    <n v="-734.52639999999997"/>
    <x v="3"/>
    <x v="1"/>
  </r>
  <r>
    <s v="US-2016-127334"/>
    <x v="120"/>
    <d v="2016-12-21T00:00:00"/>
    <x v="1"/>
    <s v="MP-18175"/>
    <s v="Mike Pelletier"/>
    <x v="2"/>
    <s v="United States"/>
    <x v="76"/>
    <x v="36"/>
    <x v="1"/>
    <s v="FUR-TA-10003473"/>
    <s v="Furniture"/>
    <x v="2"/>
    <s v="Bretford Rectangular Conference Table Tops"/>
    <n v="564.19500000000005"/>
    <n v="3"/>
    <n v="-304.6653"/>
    <x v="6"/>
    <x v="5"/>
  </r>
  <r>
    <s v="US-2017-124779"/>
    <x v="272"/>
    <d v="2017-09-11T00:00:00"/>
    <x v="2"/>
    <s v="BF-11020"/>
    <s v="Barry Franzšsisch"/>
    <x v="1"/>
    <s v="United States"/>
    <x v="58"/>
    <x v="5"/>
    <x v="3"/>
    <s v="FUR-FU-10001095"/>
    <s v="Furniture"/>
    <x v="3"/>
    <s v="DAX Black Cherry Wood-Tone Poster Frame"/>
    <n v="21.184000000000001"/>
    <n v="2"/>
    <n v="-11.651199999999999"/>
    <x v="0"/>
    <x v="4"/>
  </r>
  <r>
    <s v="US-2017-124779"/>
    <x v="272"/>
    <d v="2017-09-11T00:00:00"/>
    <x v="2"/>
    <s v="BF-11020"/>
    <s v="Barry Franzšsisch"/>
    <x v="1"/>
    <s v="United States"/>
    <x v="58"/>
    <x v="5"/>
    <x v="3"/>
    <s v="FUR-CH-10003535"/>
    <s v="Furniture"/>
    <x v="1"/>
    <s v="Global Armless Task Chair, Royal Blue"/>
    <n v="213.43"/>
    <n v="5"/>
    <n v="-39.637"/>
    <x v="0"/>
    <x v="4"/>
  </r>
  <r>
    <s v="CA-2017-135937"/>
    <x v="134"/>
    <d v="2017-02-27T00:00:00"/>
    <x v="1"/>
    <s v="KM-16375"/>
    <s v="Katherine Murray"/>
    <x v="2"/>
    <s v="United States"/>
    <x v="171"/>
    <x v="22"/>
    <x v="1"/>
    <s v="FUR-FU-10002253"/>
    <s v="Furniture"/>
    <x v="3"/>
    <s v="Howard Miller 13&quot; Diameter Pewter Finish Round Wall Clock"/>
    <n v="68.703999999999994"/>
    <n v="2"/>
    <n v="16.3172"/>
    <x v="1"/>
    <x v="11"/>
  </r>
  <r>
    <s v="CA-2017-135937"/>
    <x v="134"/>
    <d v="2017-02-27T00:00:00"/>
    <x v="1"/>
    <s v="KM-16375"/>
    <s v="Katherine Murray"/>
    <x v="2"/>
    <s v="United States"/>
    <x v="171"/>
    <x v="22"/>
    <x v="1"/>
    <s v="FUR-TA-10001039"/>
    <s v="Furniture"/>
    <x v="2"/>
    <s v="KI Adjustable-Height Table"/>
    <n v="386.91"/>
    <n v="9"/>
    <n v="-185.71680000000001"/>
    <x v="1"/>
    <x v="11"/>
  </r>
  <r>
    <s v="CA-2017-162173"/>
    <x v="725"/>
    <d v="2017-11-01T00:00:00"/>
    <x v="1"/>
    <s v="OT-18730"/>
    <s v="Olvera Toch"/>
    <x v="0"/>
    <s v="United States"/>
    <x v="304"/>
    <x v="25"/>
    <x v="0"/>
    <s v="FUR-TA-10001520"/>
    <s v="Furniture"/>
    <x v="2"/>
    <s v="Lesro Sheffield Collection Coffee Table, End Table, Center Table, Corner Table"/>
    <n v="356.85"/>
    <n v="5"/>
    <n v="60.664499999999997"/>
    <x v="6"/>
    <x v="1"/>
  </r>
  <r>
    <s v="CA-2017-122175"/>
    <x v="666"/>
    <d v="2017-05-14T00:00:00"/>
    <x v="0"/>
    <s v="CA-12775"/>
    <s v="Cynthia Arntzen"/>
    <x v="0"/>
    <s v="United States"/>
    <x v="109"/>
    <x v="18"/>
    <x v="2"/>
    <s v="FUR-FU-10000719"/>
    <s v="Furniture"/>
    <x v="3"/>
    <s v="DAX Cubicle Frames, 8-1/2 x 11"/>
    <n v="42.85"/>
    <n v="5"/>
    <n v="15.426"/>
    <x v="3"/>
    <x v="7"/>
  </r>
  <r>
    <s v="CA-2015-135510"/>
    <x v="278"/>
    <d v="2015-09-12T00:00:00"/>
    <x v="1"/>
    <s v="TW-21025"/>
    <s v="Tamara Willingham"/>
    <x v="2"/>
    <s v="United States"/>
    <x v="305"/>
    <x v="25"/>
    <x v="0"/>
    <s v="FUR-FU-10000820"/>
    <s v="Furniture"/>
    <x v="3"/>
    <s v="Tensor Brushed Steel Torchiere Floor Lamp"/>
    <n v="67.959999999999994"/>
    <n v="4"/>
    <n v="12.232799999999999"/>
    <x v="1"/>
    <x v="4"/>
  </r>
  <r>
    <s v="CA-2014-150329"/>
    <x v="567"/>
    <d v="2014-10-14T00:00:00"/>
    <x v="1"/>
    <s v="SD-20485"/>
    <s v="Shirley Daniels"/>
    <x v="2"/>
    <s v="United States"/>
    <x v="43"/>
    <x v="22"/>
    <x v="1"/>
    <s v="FUR-FU-10003724"/>
    <s v="Furniture"/>
    <x v="3"/>
    <s v="Westinghouse Clip-On Gooseneck Lamps"/>
    <n v="46.872"/>
    <n v="7"/>
    <n v="3.5154000000000001"/>
    <x v="4"/>
    <x v="1"/>
  </r>
  <r>
    <s v="CA-2014-109134"/>
    <x v="726"/>
    <d v="2014-11-10T00:00:00"/>
    <x v="1"/>
    <s v="DE-13255"/>
    <s v="Deanra Eno"/>
    <x v="2"/>
    <s v="United States"/>
    <x v="2"/>
    <x v="2"/>
    <x v="1"/>
    <s v="FUR-FU-10000320"/>
    <s v="Furniture"/>
    <x v="3"/>
    <s v="OIC Stacking Trays"/>
    <n v="20.04"/>
    <n v="6"/>
    <n v="8.8176000000000005"/>
    <x v="2"/>
    <x v="0"/>
  </r>
  <r>
    <s v="US-2015-129637"/>
    <x v="584"/>
    <d v="2015-12-22T00:00:00"/>
    <x v="1"/>
    <s v="MC-18100"/>
    <s v="Mick Crebagga"/>
    <x v="0"/>
    <s v="United States"/>
    <x v="17"/>
    <x v="8"/>
    <x v="3"/>
    <s v="FUR-FU-10000965"/>
    <s v="Furniture"/>
    <x v="3"/>
    <s v="Howard Miller 11-1/2&quot; Diameter Ridgewood Wall Clock"/>
    <n v="41.552"/>
    <n v="2"/>
    <n v="-19.737200000000001"/>
    <x v="2"/>
    <x v="5"/>
  </r>
  <r>
    <s v="CA-2017-145429"/>
    <x v="720"/>
    <d v="2017-07-25T00:00:00"/>
    <x v="1"/>
    <s v="SW-20455"/>
    <s v="Shaun Weien"/>
    <x v="0"/>
    <s v="United States"/>
    <x v="53"/>
    <x v="2"/>
    <x v="1"/>
    <s v="FUR-CH-10000988"/>
    <s v="Furniture"/>
    <x v="1"/>
    <s v="Hon Olson Stacker Stools"/>
    <n v="225.29599999999999"/>
    <n v="2"/>
    <n v="22.529599999999999"/>
    <x v="4"/>
    <x v="3"/>
  </r>
  <r>
    <s v="CA-2015-153535"/>
    <x v="727"/>
    <d v="2015-05-24T00:00:00"/>
    <x v="1"/>
    <s v="SG-20470"/>
    <s v="Sheri Gordon"/>
    <x v="0"/>
    <s v="United States"/>
    <x v="306"/>
    <x v="30"/>
    <x v="0"/>
    <s v="FUR-FU-10001986"/>
    <s v="Furniture"/>
    <x v="3"/>
    <s v="Dana Fluorescent Magnifying Lamp, White, 36&quot;"/>
    <n v="163.136"/>
    <n v="4"/>
    <n v="20.391999999999999"/>
    <x v="4"/>
    <x v="7"/>
  </r>
  <r>
    <s v="CA-2015-123141"/>
    <x v="502"/>
    <d v="2015-11-19T00:00:00"/>
    <x v="1"/>
    <s v="GZ-14470"/>
    <s v="Gary Zandusky"/>
    <x v="0"/>
    <s v="United States"/>
    <x v="307"/>
    <x v="41"/>
    <x v="1"/>
    <s v="FUR-CH-10004287"/>
    <s v="Furniture"/>
    <x v="1"/>
    <s v="SAFCO Arco Folding Chair"/>
    <n v="883.84"/>
    <n v="4"/>
    <n v="99.432000000000002"/>
    <x v="2"/>
    <x v="0"/>
  </r>
  <r>
    <s v="CA-2015-123141"/>
    <x v="502"/>
    <d v="2015-11-19T00:00:00"/>
    <x v="1"/>
    <s v="GZ-14470"/>
    <s v="Gary Zandusky"/>
    <x v="0"/>
    <s v="United States"/>
    <x v="307"/>
    <x v="41"/>
    <x v="1"/>
    <s v="FUR-CH-10001891"/>
    <s v="Furniture"/>
    <x v="1"/>
    <s v="Global Deluxe Office Fabric Chairs"/>
    <n v="230.352"/>
    <n v="3"/>
    <n v="20.155799999999999"/>
    <x v="2"/>
    <x v="0"/>
  </r>
  <r>
    <s v="CA-2017-107629"/>
    <x v="417"/>
    <d v="2017-12-14T00:00:00"/>
    <x v="3"/>
    <s v="DB-13060"/>
    <s v="Dave Brooks"/>
    <x v="0"/>
    <s v="United States"/>
    <x v="187"/>
    <x v="8"/>
    <x v="3"/>
    <s v="FUR-FU-10002298"/>
    <s v="Furniture"/>
    <x v="3"/>
    <s v="Rubbermaid ClusterMat Chairmats, Mat Size- 66&quot; x 60&quot;, Lip 20&quot; x 11&quot; -90 Degree Angle"/>
    <n v="266.35199999999998"/>
    <n v="6"/>
    <n v="-292.98719999999997"/>
    <x v="7"/>
    <x v="5"/>
  </r>
  <r>
    <s v="CA-2017-107629"/>
    <x v="417"/>
    <d v="2017-12-14T00:00:00"/>
    <x v="3"/>
    <s v="DB-13060"/>
    <s v="Dave Brooks"/>
    <x v="0"/>
    <s v="United States"/>
    <x v="187"/>
    <x v="8"/>
    <x v="3"/>
    <s v="FUR-FU-10004091"/>
    <s v="Furniture"/>
    <x v="3"/>
    <s v="Howard Miller 13&quot; Diameter Goldtone Round Wall Clock"/>
    <n v="56.328000000000003"/>
    <n v="3"/>
    <n v="-26.755800000000001"/>
    <x v="7"/>
    <x v="5"/>
  </r>
  <r>
    <s v="CA-2016-134789"/>
    <x v="57"/>
    <d v="2016-04-15T00:00:00"/>
    <x v="1"/>
    <s v="CK-12325"/>
    <s v="Christine Kargatis"/>
    <x v="2"/>
    <s v="United States"/>
    <x v="308"/>
    <x v="31"/>
    <x v="0"/>
    <s v="FUR-FU-10003268"/>
    <s v="Furniture"/>
    <x v="3"/>
    <s v="Eldon Radial Chair Mat for Low to Medium Pile Carpets"/>
    <n v="159.91999999999999"/>
    <n v="4"/>
    <n v="31.984000000000002"/>
    <x v="1"/>
    <x v="6"/>
  </r>
  <r>
    <s v="CA-2016-165827"/>
    <x v="114"/>
    <d v="2016-11-09T00:00:00"/>
    <x v="1"/>
    <s v="MF-17665"/>
    <s v="Maureen Fritzler"/>
    <x v="1"/>
    <s v="United States"/>
    <x v="89"/>
    <x v="1"/>
    <x v="0"/>
    <s v="FUR-FU-10001889"/>
    <s v="Furniture"/>
    <x v="3"/>
    <s v="Ultra Door Pull Handle"/>
    <n v="50.496000000000002"/>
    <n v="6"/>
    <n v="8.2056000000000004"/>
    <x v="2"/>
    <x v="0"/>
  </r>
  <r>
    <s v="CA-2015-156734"/>
    <x v="311"/>
    <d v="2015-06-20T00:00:00"/>
    <x v="2"/>
    <s v="BV-11245"/>
    <s v="Benjamin Venier"/>
    <x v="1"/>
    <s v="United States"/>
    <x v="107"/>
    <x v="9"/>
    <x v="0"/>
    <s v="FUR-CH-10002965"/>
    <s v="Furniture"/>
    <x v="1"/>
    <s v="Global Leather Highback Executive Chair with Pneumatic Height Adjustment, Black"/>
    <n v="643.13599999999997"/>
    <n v="4"/>
    <n v="56.2744"/>
    <x v="3"/>
    <x v="2"/>
  </r>
  <r>
    <s v="CA-2014-144029"/>
    <x v="261"/>
    <d v="2014-05-31T00:00:00"/>
    <x v="1"/>
    <s v="MM-18055"/>
    <s v="Michelle Moray"/>
    <x v="0"/>
    <s v="United States"/>
    <x v="9"/>
    <x v="8"/>
    <x v="3"/>
    <s v="FUR-CH-10003981"/>
    <s v="Furniture"/>
    <x v="1"/>
    <s v="Global Commerce Series Low-Back Swivel/Tilt Chairs"/>
    <n v="359.77199999999999"/>
    <n v="2"/>
    <n v="-5.1395999999999997"/>
    <x v="2"/>
    <x v="7"/>
  </r>
  <r>
    <s v="US-2017-101784"/>
    <x v="682"/>
    <d v="2017-07-11T00:00:00"/>
    <x v="1"/>
    <s v="PO-18850"/>
    <s v="Patrick O'Brill"/>
    <x v="0"/>
    <s v="United States"/>
    <x v="2"/>
    <x v="2"/>
    <x v="1"/>
    <s v="FUR-CH-10001146"/>
    <s v="Furniture"/>
    <x v="1"/>
    <s v="Global Task Chair, Black"/>
    <n v="122.136"/>
    <n v="3"/>
    <n v="-13.7403"/>
    <x v="2"/>
    <x v="3"/>
  </r>
  <r>
    <s v="CA-2016-154767"/>
    <x v="728"/>
    <d v="2016-06-30T00:00:00"/>
    <x v="0"/>
    <s v="BP-11155"/>
    <s v="Becky Pak"/>
    <x v="0"/>
    <s v="United States"/>
    <x v="309"/>
    <x v="18"/>
    <x v="2"/>
    <s v="FUR-CH-10003535"/>
    <s v="Furniture"/>
    <x v="1"/>
    <s v="Global Armless Task Chair, Royal Blue"/>
    <n v="121.96"/>
    <n v="2"/>
    <n v="20.7332"/>
    <x v="3"/>
    <x v="2"/>
  </r>
  <r>
    <s v="CA-2017-124205"/>
    <x v="102"/>
    <d v="2017-09-19T00:00:00"/>
    <x v="1"/>
    <s v="TC-21145"/>
    <s v="Theresa Coyne"/>
    <x v="1"/>
    <s v="United States"/>
    <x v="174"/>
    <x v="18"/>
    <x v="2"/>
    <s v="FUR-FU-10002445"/>
    <s v="Furniture"/>
    <x v="3"/>
    <s v="DAX Two-Tone Rosewood/Black Document Frame, Desktop, 5 x 7"/>
    <n v="47.4"/>
    <n v="5"/>
    <n v="18.96"/>
    <x v="4"/>
    <x v="4"/>
  </r>
  <r>
    <s v="CA-2017-124205"/>
    <x v="102"/>
    <d v="2017-09-19T00:00:00"/>
    <x v="1"/>
    <s v="TC-21145"/>
    <s v="Theresa Coyne"/>
    <x v="1"/>
    <s v="United States"/>
    <x v="174"/>
    <x v="18"/>
    <x v="2"/>
    <s v="FUR-CH-10003606"/>
    <s v="Furniture"/>
    <x v="1"/>
    <s v="SAFCO Folding Chair Trolley"/>
    <n v="512.96"/>
    <n v="4"/>
    <n v="143.62880000000001"/>
    <x v="4"/>
    <x v="4"/>
  </r>
  <r>
    <s v="CA-2016-162943"/>
    <x v="729"/>
    <d v="2016-07-26T00:00:00"/>
    <x v="0"/>
    <s v="DB-12970"/>
    <s v="Darren Budd"/>
    <x v="1"/>
    <s v="United States"/>
    <x v="13"/>
    <x v="7"/>
    <x v="2"/>
    <s v="FUR-CH-10001708"/>
    <s v="Furniture"/>
    <x v="1"/>
    <s v="Office Star - Contemporary Swivel Chair with Padded Adjustable Arms and Flex Back"/>
    <n v="253.76400000000001"/>
    <n v="2"/>
    <n v="31.015599999999999"/>
    <x v="3"/>
    <x v="3"/>
  </r>
  <r>
    <s v="CA-2017-100615"/>
    <x v="333"/>
    <d v="2017-04-24T00:00:00"/>
    <x v="1"/>
    <s v="SJ-20215"/>
    <s v="Sarah Jordon"/>
    <x v="0"/>
    <s v="United States"/>
    <x v="9"/>
    <x v="8"/>
    <x v="3"/>
    <s v="FUR-CH-10002602"/>
    <s v="Furniture"/>
    <x v="1"/>
    <s v="DMI Arturo Collection Mission-style Design Wood Chair"/>
    <n v="317.05799999999999"/>
    <n v="3"/>
    <n v="-18.117599999999999"/>
    <x v="4"/>
    <x v="6"/>
  </r>
  <r>
    <s v="CA-2017-100615"/>
    <x v="333"/>
    <d v="2017-04-24T00:00:00"/>
    <x v="1"/>
    <s v="SJ-20215"/>
    <s v="Sarah Jordon"/>
    <x v="0"/>
    <s v="United States"/>
    <x v="9"/>
    <x v="8"/>
    <x v="3"/>
    <s v="FUR-FU-10002456"/>
    <s v="Furniture"/>
    <x v="3"/>
    <s v="Master Caster Door Stop, Large Neon Orange"/>
    <n v="14.56"/>
    <n v="5"/>
    <n v="-6.1879999999999997"/>
    <x v="4"/>
    <x v="6"/>
  </r>
  <r>
    <s v="US-2016-147711"/>
    <x v="222"/>
    <d v="2016-09-08T00:00:00"/>
    <x v="0"/>
    <s v="HF-14995"/>
    <s v="Herbert Flentye"/>
    <x v="0"/>
    <s v="United States"/>
    <x v="237"/>
    <x v="32"/>
    <x v="2"/>
    <s v="FUR-BO-10003159"/>
    <s v="Furniture"/>
    <x v="0"/>
    <s v="Sauder Camden County Collection Libraries, Planked Cherry Finish"/>
    <n v="344.94"/>
    <n v="3"/>
    <n v="31.044599999999999"/>
    <x v="2"/>
    <x v="4"/>
  </r>
  <r>
    <s v="US-2016-147711"/>
    <x v="222"/>
    <d v="2016-09-08T00:00:00"/>
    <x v="0"/>
    <s v="HF-14995"/>
    <s v="Herbert Flentye"/>
    <x v="0"/>
    <s v="United States"/>
    <x v="237"/>
    <x v="32"/>
    <x v="2"/>
    <s v="FUR-FU-10002364"/>
    <s v="Furniture"/>
    <x v="3"/>
    <s v="Eldon Expressions Wood Desk Accessories, Oak"/>
    <n v="14.76"/>
    <n v="2"/>
    <n v="4.2804000000000002"/>
    <x v="2"/>
    <x v="4"/>
  </r>
  <r>
    <s v="CA-2017-121293"/>
    <x v="730"/>
    <d v="2017-07-28T00:00:00"/>
    <x v="0"/>
    <s v="JC-15775"/>
    <s v="John Castell"/>
    <x v="0"/>
    <s v="United States"/>
    <x v="3"/>
    <x v="3"/>
    <x v="2"/>
    <s v="FUR-FU-10000732"/>
    <s v="Furniture"/>
    <x v="3"/>
    <s v="Eldon 200 Class Desk Accessories"/>
    <n v="20.096"/>
    <n v="4"/>
    <n v="3.0144000000000002"/>
    <x v="0"/>
    <x v="3"/>
  </r>
  <r>
    <s v="CA-2017-121293"/>
    <x v="730"/>
    <d v="2017-07-28T00:00:00"/>
    <x v="0"/>
    <s v="JC-15775"/>
    <s v="John Castell"/>
    <x v="0"/>
    <s v="United States"/>
    <x v="3"/>
    <x v="3"/>
    <x v="2"/>
    <s v="FUR-TA-10001771"/>
    <s v="Furniture"/>
    <x v="2"/>
    <s v="Bush Cubix Conference Tables, Fully Assembled"/>
    <n v="138.58799999999999"/>
    <n v="1"/>
    <n v="-34.646999999999998"/>
    <x v="0"/>
    <x v="3"/>
  </r>
  <r>
    <s v="CA-2015-118843"/>
    <x v="615"/>
    <d v="2015-09-20T00:00:00"/>
    <x v="1"/>
    <s v="JH-15910"/>
    <s v="Jonathan Howell"/>
    <x v="0"/>
    <s v="United States"/>
    <x v="182"/>
    <x v="24"/>
    <x v="0"/>
    <s v="FUR-FU-10003975"/>
    <s v="Furniture"/>
    <x v="3"/>
    <s v="Eldon Advantage Chair Mats for Low to Medium Pile Carpets"/>
    <n v="129.93"/>
    <n v="3"/>
    <n v="12.993"/>
    <x v="1"/>
    <x v="4"/>
  </r>
  <r>
    <s v="CA-2016-162348"/>
    <x v="480"/>
    <d v="2016-11-15T00:00:00"/>
    <x v="1"/>
    <s v="BF-11170"/>
    <s v="Ben Ferrer"/>
    <x v="2"/>
    <s v="United States"/>
    <x v="155"/>
    <x v="2"/>
    <x v="1"/>
    <s v="FUR-FU-10003731"/>
    <s v="Furniture"/>
    <x v="3"/>
    <s v="Eldon Expressions Wood and Plastic Desk Accessories, Oak"/>
    <n v="9.98"/>
    <n v="1"/>
    <n v="2.7944"/>
    <x v="2"/>
    <x v="0"/>
  </r>
  <r>
    <s v="CA-2015-145394"/>
    <x v="397"/>
    <d v="2015-11-20T00:00:00"/>
    <x v="1"/>
    <s v="MC-17605"/>
    <s v="Matt Connell"/>
    <x v="1"/>
    <s v="United States"/>
    <x v="9"/>
    <x v="8"/>
    <x v="3"/>
    <s v="FUR-FU-10001215"/>
    <s v="Furniture"/>
    <x v="3"/>
    <s v="Howard Miller 11-1/2&quot; Diameter Brentwood Wall Clock"/>
    <n v="34.503999999999998"/>
    <n v="2"/>
    <n v="-15.5268"/>
    <x v="4"/>
    <x v="0"/>
  </r>
  <r>
    <s v="CA-2015-168809"/>
    <x v="382"/>
    <d v="2015-08-25T00:00:00"/>
    <x v="3"/>
    <s v="MC-18100"/>
    <s v="Mick Crebagga"/>
    <x v="0"/>
    <s v="United States"/>
    <x v="6"/>
    <x v="5"/>
    <x v="3"/>
    <s v="FUR-FU-10001473"/>
    <s v="Furniture"/>
    <x v="3"/>
    <s v="Eldon Executive Woodline II Desk Accessories, Mahogany"/>
    <n v="20.103999999999999"/>
    <n v="2"/>
    <n v="-16.585799999999999"/>
    <x v="7"/>
    <x v="10"/>
  </r>
  <r>
    <s v="CA-2015-168809"/>
    <x v="382"/>
    <d v="2015-08-25T00:00:00"/>
    <x v="3"/>
    <s v="MC-18100"/>
    <s v="Mick Crebagga"/>
    <x v="0"/>
    <s v="United States"/>
    <x v="6"/>
    <x v="5"/>
    <x v="3"/>
    <s v="FUR-FU-10002240"/>
    <s v="Furniture"/>
    <x v="3"/>
    <s v="Nu-Dell EZ-Mount Plastic Wall Frames"/>
    <n v="7.88"/>
    <n v="5"/>
    <n v="-3.94"/>
    <x v="7"/>
    <x v="10"/>
  </r>
  <r>
    <s v="CA-2016-109827"/>
    <x v="683"/>
    <d v="2017-01-01T00:00:00"/>
    <x v="1"/>
    <s v="LW-16825"/>
    <s v="Laurel Workman"/>
    <x v="1"/>
    <s v="United States"/>
    <x v="43"/>
    <x v="22"/>
    <x v="1"/>
    <s v="FUR-TA-10002607"/>
    <s v="Furniture"/>
    <x v="2"/>
    <s v="KI Conference Tables"/>
    <n v="35.445"/>
    <n v="1"/>
    <n v="-24.102599999999999"/>
    <x v="1"/>
    <x v="5"/>
  </r>
  <r>
    <s v="CA-2016-109827"/>
    <x v="683"/>
    <d v="2017-01-01T00:00:00"/>
    <x v="1"/>
    <s v="LW-16825"/>
    <s v="Laurel Workman"/>
    <x v="1"/>
    <s v="United States"/>
    <x v="43"/>
    <x v="22"/>
    <x v="1"/>
    <s v="FUR-CH-10004754"/>
    <s v="Furniture"/>
    <x v="1"/>
    <s v="Global Stack Chair with Arms, Black"/>
    <n v="47.968000000000004"/>
    <n v="2"/>
    <n v="4.1971999999999996"/>
    <x v="1"/>
    <x v="5"/>
  </r>
  <r>
    <s v="CA-2015-128125"/>
    <x v="731"/>
    <d v="2015-04-05T00:00:00"/>
    <x v="1"/>
    <s v="EB-13705"/>
    <s v="Ed Braxton"/>
    <x v="1"/>
    <s v="United States"/>
    <x v="6"/>
    <x v="5"/>
    <x v="3"/>
    <s v="FUR-FU-10001085"/>
    <s v="Furniture"/>
    <x v="3"/>
    <s v="3M Polarizing Light Filter Sleeves"/>
    <n v="22.38"/>
    <n v="3"/>
    <n v="-7.8330000000000002"/>
    <x v="2"/>
    <x v="9"/>
  </r>
  <r>
    <s v="CA-2017-156237"/>
    <x v="732"/>
    <d v="2017-09-15T00:00:00"/>
    <x v="2"/>
    <s v="PS-18760"/>
    <s v="Pamela Stobb"/>
    <x v="0"/>
    <s v="United States"/>
    <x v="3"/>
    <x v="3"/>
    <x v="2"/>
    <s v="FUR-CH-10002372"/>
    <s v="Furniture"/>
    <x v="1"/>
    <s v="Office Star - Ergonomically Designed Knee Chair"/>
    <n v="113.372"/>
    <n v="2"/>
    <n v="-29.152799999999999"/>
    <x v="5"/>
    <x v="4"/>
  </r>
  <r>
    <s v="CA-2017-156237"/>
    <x v="732"/>
    <d v="2017-09-15T00:00:00"/>
    <x v="2"/>
    <s v="PS-18760"/>
    <s v="Pamela Stobb"/>
    <x v="0"/>
    <s v="United States"/>
    <x v="3"/>
    <x v="3"/>
    <x v="2"/>
    <s v="FUR-FU-10001057"/>
    <s v="Furniture"/>
    <x v="3"/>
    <s v="Tensor Track Tree Floor Lamp"/>
    <n v="127.93600000000001"/>
    <n v="8"/>
    <n v="4.7976000000000001"/>
    <x v="5"/>
    <x v="4"/>
  </r>
  <r>
    <s v="CA-2014-144414"/>
    <x v="733"/>
    <d v="2014-06-21T00:00:00"/>
    <x v="1"/>
    <s v="GH-14425"/>
    <s v="Gary Hwang"/>
    <x v="0"/>
    <s v="United States"/>
    <x v="15"/>
    <x v="13"/>
    <x v="1"/>
    <s v="FUR-FU-10003981"/>
    <s v="Furniture"/>
    <x v="3"/>
    <s v="Eldon Wave Desk Accessories"/>
    <n v="6.24"/>
    <n v="3"/>
    <n v="2.6208"/>
    <x v="4"/>
    <x v="2"/>
  </r>
  <r>
    <s v="CA-2017-163860"/>
    <x v="158"/>
    <d v="2018-01-01T00:00:00"/>
    <x v="1"/>
    <s v="LO-17170"/>
    <s v="Lori Olson"/>
    <x v="1"/>
    <s v="United States"/>
    <x v="117"/>
    <x v="8"/>
    <x v="3"/>
    <s v="FUR-FU-10004586"/>
    <s v="Furniture"/>
    <x v="3"/>
    <s v="G.E. Longer-Life Indoor Recessed Floodlight Bulbs"/>
    <n v="7.968"/>
    <n v="3"/>
    <n v="-2.3904000000000001"/>
    <x v="4"/>
    <x v="5"/>
  </r>
  <r>
    <s v="CA-2017-163860"/>
    <x v="158"/>
    <d v="2018-01-01T00:00:00"/>
    <x v="1"/>
    <s v="LO-17170"/>
    <s v="Lori Olson"/>
    <x v="1"/>
    <s v="United States"/>
    <x v="117"/>
    <x v="8"/>
    <x v="3"/>
    <s v="FUR-CH-10004698"/>
    <s v="Furniture"/>
    <x v="1"/>
    <s v="Padded Folding Chairs, Black, 4/Carton"/>
    <n v="113.372"/>
    <n v="2"/>
    <n v="-3.2391999999999999"/>
    <x v="4"/>
    <x v="5"/>
  </r>
  <r>
    <s v="CA-2017-163860"/>
    <x v="158"/>
    <d v="2018-01-01T00:00:00"/>
    <x v="1"/>
    <s v="LO-17170"/>
    <s v="Lori Olson"/>
    <x v="1"/>
    <s v="United States"/>
    <x v="117"/>
    <x v="8"/>
    <x v="3"/>
    <s v="FUR-FU-10001935"/>
    <s v="Furniture"/>
    <x v="3"/>
    <s v="3M Hangers With Command Adhesive"/>
    <n v="2.96"/>
    <n v="2"/>
    <n v="-1.4059999999999999"/>
    <x v="4"/>
    <x v="5"/>
  </r>
  <r>
    <s v="CA-2015-154291"/>
    <x v="396"/>
    <d v="2015-07-29T00:00:00"/>
    <x v="1"/>
    <s v="YS-21880"/>
    <s v="Yana Sorensen"/>
    <x v="1"/>
    <s v="United States"/>
    <x v="132"/>
    <x v="33"/>
    <x v="0"/>
    <s v="FUR-TA-10002041"/>
    <s v="Furniture"/>
    <x v="2"/>
    <s v="Bevis Round Conference Table Top, X-Base"/>
    <n v="358.58"/>
    <n v="2"/>
    <n v="39.443800000000003"/>
    <x v="4"/>
    <x v="3"/>
  </r>
  <r>
    <s v="CA-2016-153101"/>
    <x v="63"/>
    <d v="2016-09-08T00:00:00"/>
    <x v="3"/>
    <s v="PJ-19015"/>
    <s v="Pauline Johnson"/>
    <x v="0"/>
    <s v="United States"/>
    <x v="72"/>
    <x v="2"/>
    <x v="1"/>
    <s v="FUR-TA-10003008"/>
    <s v="Furniture"/>
    <x v="2"/>
    <s v="Lesro Round Back Collection Coffee Table, End Table"/>
    <n v="146.04"/>
    <n v="1"/>
    <n v="-12.778499999999999"/>
    <x v="7"/>
    <x v="4"/>
  </r>
  <r>
    <s v="CA-2017-142643"/>
    <x v="487"/>
    <d v="2017-10-20T00:00:00"/>
    <x v="1"/>
    <s v="DL-13495"/>
    <s v="Dionis Lloyd"/>
    <x v="1"/>
    <s v="United States"/>
    <x v="310"/>
    <x v="2"/>
    <x v="1"/>
    <s v="FUR-FU-10000087"/>
    <s v="Furniture"/>
    <x v="3"/>
    <s v="Executive Impressions 14&quot; Two-Color Numerals Wall Clock"/>
    <n v="22.72"/>
    <n v="1"/>
    <n v="9.3152000000000008"/>
    <x v="2"/>
    <x v="1"/>
  </r>
  <r>
    <s v="CA-2016-123946"/>
    <x v="51"/>
    <d v="2016-09-17T00:00:00"/>
    <x v="1"/>
    <s v="AJ-10795"/>
    <s v="Anthony Johnson"/>
    <x v="1"/>
    <s v="United States"/>
    <x v="76"/>
    <x v="25"/>
    <x v="0"/>
    <s v="FUR-CH-10002073"/>
    <s v="Furniture"/>
    <x v="1"/>
    <s v="Hon Olson Stacker Chairs"/>
    <n v="1059.1199999999999"/>
    <n v="4"/>
    <n v="307.14479999999998"/>
    <x v="2"/>
    <x v="4"/>
  </r>
  <r>
    <s v="CA-2014-147543"/>
    <x v="734"/>
    <d v="2014-07-12T00:00:00"/>
    <x v="1"/>
    <s v="BC-11125"/>
    <s v="Becky Castell"/>
    <x v="2"/>
    <s v="United States"/>
    <x v="311"/>
    <x v="2"/>
    <x v="1"/>
    <s v="FUR-CH-10000155"/>
    <s v="Furniture"/>
    <x v="1"/>
    <s v="Global Comet Stacking Armless Chair"/>
    <n v="478.48"/>
    <n v="2"/>
    <n v="47.847999999999999"/>
    <x v="6"/>
    <x v="3"/>
  </r>
  <r>
    <s v="CA-2014-101462"/>
    <x v="607"/>
    <d v="2014-04-25T00:00:00"/>
    <x v="1"/>
    <s v="BP-11230"/>
    <s v="Benjamin Patterson"/>
    <x v="0"/>
    <s v="United States"/>
    <x v="2"/>
    <x v="2"/>
    <x v="1"/>
    <s v="FUR-FU-10000409"/>
    <s v="Furniture"/>
    <x v="3"/>
    <s v="GE 4 Foot Flourescent Tube, 40 Watt"/>
    <n v="59.92"/>
    <n v="4"/>
    <n v="27.563199999999998"/>
    <x v="2"/>
    <x v="6"/>
  </r>
  <r>
    <s v="US-2016-100461"/>
    <x v="735"/>
    <d v="2016-01-12T00:00:00"/>
    <x v="1"/>
    <s v="JO-15145"/>
    <s v="Jack O'Briant"/>
    <x v="1"/>
    <s v="United States"/>
    <x v="20"/>
    <x v="16"/>
    <x v="3"/>
    <s v="FUR-BO-10002545"/>
    <s v="Furniture"/>
    <x v="0"/>
    <s v="Atlantic Metals Mobile 3-Shelf Bookcases, Custom Colors"/>
    <n v="1565.88"/>
    <n v="6"/>
    <n v="407.12880000000001"/>
    <x v="4"/>
    <x v="8"/>
  </r>
  <r>
    <s v="CA-2017-128965"/>
    <x v="452"/>
    <d v="2017-04-22T00:00:00"/>
    <x v="1"/>
    <s v="PS-18760"/>
    <s v="Pamela Stobb"/>
    <x v="0"/>
    <s v="United States"/>
    <x v="2"/>
    <x v="2"/>
    <x v="1"/>
    <s v="FUR-CH-10003774"/>
    <s v="Furniture"/>
    <x v="1"/>
    <s v="Global Wood Trimmed Manager's Task Chair, Khaki"/>
    <n v="218.352"/>
    <n v="3"/>
    <n v="-19.105799999999999"/>
    <x v="2"/>
    <x v="6"/>
  </r>
  <r>
    <s v="US-2016-126452"/>
    <x v="650"/>
    <d v="2016-08-28T00:00:00"/>
    <x v="1"/>
    <s v="SC-20230"/>
    <s v="Scot Coram"/>
    <x v="1"/>
    <s v="United States"/>
    <x v="2"/>
    <x v="2"/>
    <x v="1"/>
    <s v="FUR-TA-10003569"/>
    <s v="Furniture"/>
    <x v="2"/>
    <s v="Bretford CR8500 Series Meeting Room Furniture"/>
    <n v="2887.056"/>
    <n v="9"/>
    <n v="180.441"/>
    <x v="1"/>
    <x v="10"/>
  </r>
  <r>
    <s v="US-2016-121013"/>
    <x v="26"/>
    <d v="2016-09-10T00:00:00"/>
    <x v="1"/>
    <s v="MM-17920"/>
    <s v="Michael Moore"/>
    <x v="0"/>
    <s v="United States"/>
    <x v="180"/>
    <x v="25"/>
    <x v="0"/>
    <s v="FUR-TA-10003238"/>
    <s v="Furniture"/>
    <x v="2"/>
    <s v="Chromcraft Bull-Nose Wood 48&quot; x 96&quot; Rectangular Conference Tables"/>
    <n v="1652.94"/>
    <n v="3"/>
    <n v="314.05860000000001"/>
    <x v="2"/>
    <x v="4"/>
  </r>
  <r>
    <s v="US-2015-123918"/>
    <x v="233"/>
    <d v="2015-10-15T00:00:00"/>
    <x v="3"/>
    <s v="CG-12520"/>
    <s v="Claire Gute"/>
    <x v="0"/>
    <s v="United States"/>
    <x v="144"/>
    <x v="5"/>
    <x v="3"/>
    <s v="FUR-FU-10004952"/>
    <s v="Furniture"/>
    <x v="3"/>
    <s v="C-Line Cubicle Keepers Polyproplyene Holder w/Velcro Back, 8-1/2x11, 25/Bx"/>
    <n v="131.376"/>
    <n v="6"/>
    <n v="-95.247600000000006"/>
    <x v="7"/>
    <x v="1"/>
  </r>
  <r>
    <s v="CA-2015-137113"/>
    <x v="239"/>
    <d v="2015-12-05T00:00:00"/>
    <x v="0"/>
    <s v="TW-21025"/>
    <s v="Tamara Willingham"/>
    <x v="2"/>
    <s v="United States"/>
    <x v="15"/>
    <x v="13"/>
    <x v="1"/>
    <s v="FUR-CH-10001215"/>
    <s v="Furniture"/>
    <x v="1"/>
    <s v="Global Troy Executive Leather Low-Back Tilter"/>
    <n v="2003.92"/>
    <n v="5"/>
    <n v="125.245"/>
    <x v="4"/>
    <x v="5"/>
  </r>
  <r>
    <s v="CA-2015-137113"/>
    <x v="239"/>
    <d v="2015-12-05T00:00:00"/>
    <x v="0"/>
    <s v="TW-21025"/>
    <s v="Tamara Willingham"/>
    <x v="2"/>
    <s v="United States"/>
    <x v="15"/>
    <x v="13"/>
    <x v="1"/>
    <s v="FUR-TA-10001705"/>
    <s v="Furniture"/>
    <x v="2"/>
    <s v="Bush Advantage Collection Round Conference Table"/>
    <n v="1913.4"/>
    <n v="9"/>
    <n v="401.81400000000002"/>
    <x v="4"/>
    <x v="5"/>
  </r>
  <r>
    <s v="CA-2015-120677"/>
    <x v="151"/>
    <d v="2015-06-04T00:00:00"/>
    <x v="1"/>
    <s v="BD-11320"/>
    <s v="Bill Donatelli"/>
    <x v="0"/>
    <s v="United States"/>
    <x v="12"/>
    <x v="11"/>
    <x v="3"/>
    <s v="FUR-CH-10002320"/>
    <s v="Furniture"/>
    <x v="1"/>
    <s v="Hon Pagoda Stacking Chairs"/>
    <n v="2567.84"/>
    <n v="8"/>
    <n v="770.35199999999998"/>
    <x v="4"/>
    <x v="7"/>
  </r>
  <r>
    <s v="CA-2017-164756"/>
    <x v="510"/>
    <d v="2017-09-22T00:00:00"/>
    <x v="1"/>
    <s v="SS-20140"/>
    <s v="Saphhira Shifley"/>
    <x v="1"/>
    <s v="United States"/>
    <x v="29"/>
    <x v="24"/>
    <x v="0"/>
    <s v="FUR-FU-10002963"/>
    <s v="Furniture"/>
    <x v="3"/>
    <s v="Master Caster Door Stop, Gray"/>
    <n v="20.32"/>
    <n v="4"/>
    <n v="6.9088000000000003"/>
    <x v="4"/>
    <x v="4"/>
  </r>
  <r>
    <s v="US-2015-165512"/>
    <x v="736"/>
    <d v="2015-05-26T00:00:00"/>
    <x v="0"/>
    <s v="VS-21820"/>
    <s v="Vivek Sundaresam"/>
    <x v="0"/>
    <s v="United States"/>
    <x v="312"/>
    <x v="8"/>
    <x v="3"/>
    <s v="FUR-CH-10002880"/>
    <s v="Furniture"/>
    <x v="1"/>
    <s v="Global High-Back Leather Tilter, Burgundy"/>
    <n v="602.65099999999995"/>
    <n v="7"/>
    <n v="-163.57669999999999"/>
    <x v="3"/>
    <x v="7"/>
  </r>
  <r>
    <s v="US-2017-135503"/>
    <x v="247"/>
    <d v="2017-12-15T00:00:00"/>
    <x v="1"/>
    <s v="JE-16165"/>
    <s v="Justin Ellison"/>
    <x v="1"/>
    <s v="United States"/>
    <x v="313"/>
    <x v="10"/>
    <x v="0"/>
    <s v="FUR-FU-10002364"/>
    <s v="Furniture"/>
    <x v="3"/>
    <s v="Eldon Expressions Wood Desk Accessories, Oak"/>
    <n v="14.76"/>
    <n v="2"/>
    <n v="4.2804000000000002"/>
    <x v="2"/>
    <x v="5"/>
  </r>
  <r>
    <s v="US-2017-115301"/>
    <x v="605"/>
    <d v="2017-08-02T00:00:00"/>
    <x v="1"/>
    <s v="VG-21790"/>
    <s v="Vivek Gonzalez"/>
    <x v="0"/>
    <s v="United States"/>
    <x v="15"/>
    <x v="13"/>
    <x v="1"/>
    <s v="FUR-BO-10004709"/>
    <s v="Furniture"/>
    <x v="0"/>
    <s v="Bush Westfield Collection Bookcases, Medium Cherry Finish"/>
    <n v="115.96"/>
    <n v="2"/>
    <n v="25.511199999999999"/>
    <x v="4"/>
    <x v="3"/>
  </r>
  <r>
    <s v="CA-2014-124247"/>
    <x v="439"/>
    <d v="2014-12-21T00:00:00"/>
    <x v="1"/>
    <s v="SH-20635"/>
    <s v="Stefanie Holloman"/>
    <x v="1"/>
    <s v="United States"/>
    <x v="155"/>
    <x v="2"/>
    <x v="1"/>
    <s v="FUR-CH-10001854"/>
    <s v="Furniture"/>
    <x v="1"/>
    <s v="Office Star - Professional Matrix Back Chair with 2-to-1 Synchro Tilt and Mesh Fabric Seat"/>
    <n v="1403.92"/>
    <n v="5"/>
    <n v="70.195999999999998"/>
    <x v="2"/>
    <x v="5"/>
  </r>
  <r>
    <s v="CA-2015-137925"/>
    <x v="737"/>
    <d v="2015-12-04T00:00:00"/>
    <x v="1"/>
    <s v="JL-15235"/>
    <s v="Janet Lee"/>
    <x v="0"/>
    <s v="United States"/>
    <x v="13"/>
    <x v="7"/>
    <x v="2"/>
    <s v="FUR-BO-10001608"/>
    <s v="Furniture"/>
    <x v="0"/>
    <s v="Hon Metal Bookcases, Black"/>
    <n v="681.40800000000002"/>
    <n v="12"/>
    <n v="42.588000000000001"/>
    <x v="4"/>
    <x v="0"/>
  </r>
  <r>
    <s v="CA-2014-164182"/>
    <x v="738"/>
    <d v="2014-07-18T00:00:00"/>
    <x v="1"/>
    <s v="ST-20530"/>
    <s v="Shui Tom"/>
    <x v="0"/>
    <s v="United States"/>
    <x v="3"/>
    <x v="3"/>
    <x v="2"/>
    <s v="FUR-FU-10001057"/>
    <s v="Furniture"/>
    <x v="3"/>
    <s v="Tensor Track Tree Floor Lamp"/>
    <n v="31.984000000000002"/>
    <n v="2"/>
    <n v="1.1994"/>
    <x v="4"/>
    <x v="3"/>
  </r>
  <r>
    <s v="CA-2016-129847"/>
    <x v="227"/>
    <d v="2016-09-04T00:00:00"/>
    <x v="2"/>
    <s v="TA-21385"/>
    <s v="Tom Ashbrook"/>
    <x v="2"/>
    <s v="United States"/>
    <x v="9"/>
    <x v="8"/>
    <x v="3"/>
    <s v="FUR-FU-10000277"/>
    <s v="Furniture"/>
    <x v="3"/>
    <s v="Deflect-o DuraMat Antistatic Studded Beveled Mat for Medium Pile Carpeting"/>
    <n v="84.272000000000006"/>
    <n v="2"/>
    <n v="-75.844800000000006"/>
    <x v="3"/>
    <x v="4"/>
  </r>
  <r>
    <s v="CA-2016-106243"/>
    <x v="739"/>
    <d v="2016-10-04T00:00:00"/>
    <x v="1"/>
    <s v="GM-14680"/>
    <s v="Greg Matthias"/>
    <x v="0"/>
    <s v="United States"/>
    <x v="13"/>
    <x v="7"/>
    <x v="2"/>
    <s v="FUR-BO-10003034"/>
    <s v="Furniture"/>
    <x v="0"/>
    <s v="O'Sullivan Elevations Bookcase, Cherry Finish"/>
    <n v="523.91999999999996"/>
    <n v="5"/>
    <n v="-26.196000000000002"/>
    <x v="4"/>
    <x v="4"/>
  </r>
  <r>
    <s v="CA-2015-130365"/>
    <x v="740"/>
    <d v="2015-04-29T00:00:00"/>
    <x v="1"/>
    <s v="ZC-21910"/>
    <s v="Zuschuss Carroll"/>
    <x v="0"/>
    <s v="United States"/>
    <x v="14"/>
    <x v="8"/>
    <x v="3"/>
    <s v="FUR-CH-10003535"/>
    <s v="Furniture"/>
    <x v="1"/>
    <s v="Global Armless Task Chair, Royal Blue"/>
    <n v="128.05799999999999"/>
    <n v="3"/>
    <n v="-23.7822"/>
    <x v="4"/>
    <x v="6"/>
  </r>
  <r>
    <s v="CA-2017-143021"/>
    <x v="49"/>
    <d v="2017-11-19T00:00:00"/>
    <x v="3"/>
    <s v="AP-10720"/>
    <s v="Anne Pryor"/>
    <x v="2"/>
    <s v="United States"/>
    <x v="13"/>
    <x v="7"/>
    <x v="2"/>
    <s v="FUR-TA-10001676"/>
    <s v="Furniture"/>
    <x v="2"/>
    <s v="Hon 61000 Series Interactive Training Tables"/>
    <n v="79.974000000000004"/>
    <n v="3"/>
    <n v="-29.323799999999999"/>
    <x v="7"/>
    <x v="0"/>
  </r>
  <r>
    <s v="CA-2016-157588"/>
    <x v="197"/>
    <d v="2016-07-19T00:00:00"/>
    <x v="1"/>
    <s v="AR-10570"/>
    <s v="Anemone Ratner"/>
    <x v="0"/>
    <s v="United States"/>
    <x v="29"/>
    <x v="24"/>
    <x v="0"/>
    <s v="FUR-FU-10004848"/>
    <s v="Furniture"/>
    <x v="3"/>
    <s v="Howard Miller 13-3/4&quot; Diameter Brushed Chrome Round Wall Clock"/>
    <n v="51.75"/>
    <n v="1"/>
    <n v="15.525"/>
    <x v="2"/>
    <x v="3"/>
  </r>
  <r>
    <s v="CA-2016-163937"/>
    <x v="579"/>
    <d v="2016-01-13T00:00:00"/>
    <x v="0"/>
    <s v="JB-16000"/>
    <s v="Joy Bell-"/>
    <x v="0"/>
    <s v="United States"/>
    <x v="314"/>
    <x v="13"/>
    <x v="1"/>
    <s v="FUR-FU-10000010"/>
    <s v="Furniture"/>
    <x v="3"/>
    <s v="DAX Value U-Channel Document Frames, Easel Back"/>
    <n v="24.85"/>
    <n v="5"/>
    <n v="7.7035"/>
    <x v="0"/>
    <x v="8"/>
  </r>
  <r>
    <s v="CA-2015-112144"/>
    <x v="741"/>
    <d v="2015-07-02T00:00:00"/>
    <x v="1"/>
    <s v="CY-12745"/>
    <s v="Craig Yedwab"/>
    <x v="1"/>
    <s v="United States"/>
    <x v="171"/>
    <x v="22"/>
    <x v="1"/>
    <s v="FUR-FU-10004306"/>
    <s v="Furniture"/>
    <x v="3"/>
    <s v="Electrix Halogen Magnifier Lamp"/>
    <n v="621.76"/>
    <n v="4"/>
    <n v="46.631999999999998"/>
    <x v="4"/>
    <x v="2"/>
  </r>
  <r>
    <s v="CA-2015-109386"/>
    <x v="428"/>
    <d v="2015-11-13T00:00:00"/>
    <x v="0"/>
    <s v="RH-19600"/>
    <s v="Rob Haberlin"/>
    <x v="0"/>
    <s v="United States"/>
    <x v="247"/>
    <x v="25"/>
    <x v="0"/>
    <s v="FUR-FU-10000308"/>
    <s v="Furniture"/>
    <x v="3"/>
    <s v="Deflect-o Glass Clear Studded Chair Mats"/>
    <n v="186.54"/>
    <n v="3"/>
    <n v="41.038800000000002"/>
    <x v="2"/>
    <x v="0"/>
  </r>
  <r>
    <s v="CA-2015-104871"/>
    <x v="742"/>
    <d v="2015-04-03T00:00:00"/>
    <x v="1"/>
    <s v="DR-12940"/>
    <s v="Daniel Raglin"/>
    <x v="2"/>
    <s v="United States"/>
    <x v="315"/>
    <x v="8"/>
    <x v="3"/>
    <s v="FUR-CH-10003298"/>
    <s v="Furniture"/>
    <x v="1"/>
    <s v="Office Star - Contemporary Task Swivel chair with Loop Arms, Charcoal"/>
    <n v="366.74400000000003"/>
    <n v="4"/>
    <n v="-110.0232"/>
    <x v="4"/>
    <x v="9"/>
  </r>
  <r>
    <s v="CA-2014-133158"/>
    <x v="532"/>
    <d v="2014-08-21T00:00:00"/>
    <x v="0"/>
    <s v="DW-13195"/>
    <s v="David Wiener"/>
    <x v="1"/>
    <s v="United States"/>
    <x v="2"/>
    <x v="2"/>
    <x v="1"/>
    <s v="FUR-FU-10000723"/>
    <s v="Furniture"/>
    <x v="3"/>
    <s v="Deflect-o EconoMat Studded, No Bevel Mat for Low Pile Carpeting"/>
    <n v="289.24"/>
    <n v="7"/>
    <n v="26.031600000000001"/>
    <x v="3"/>
    <x v="10"/>
  </r>
  <r>
    <s v="CA-2015-141740"/>
    <x v="341"/>
    <d v="2015-11-05T00:00:00"/>
    <x v="1"/>
    <s v="JF-15490"/>
    <s v="Jeremy Farry"/>
    <x v="0"/>
    <s v="United States"/>
    <x v="13"/>
    <x v="7"/>
    <x v="2"/>
    <s v="FUR-CH-10001545"/>
    <s v="Furniture"/>
    <x v="1"/>
    <s v="Hon Comfortask Task/Swivel Chairs"/>
    <n v="205.16399999999999"/>
    <n v="2"/>
    <n v="13.6776"/>
    <x v="4"/>
    <x v="0"/>
  </r>
  <r>
    <s v="CA-2014-119466"/>
    <x v="256"/>
    <d v="2014-12-21T00:00:00"/>
    <x v="1"/>
    <s v="SP-20860"/>
    <s v="Sung Pak"/>
    <x v="1"/>
    <s v="United States"/>
    <x v="9"/>
    <x v="8"/>
    <x v="3"/>
    <s v="FUR-FU-10001546"/>
    <s v="Furniture"/>
    <x v="3"/>
    <s v="Dana Swing-Arm Lamps"/>
    <n v="8.5440000000000005"/>
    <n v="2"/>
    <n v="-7.476"/>
    <x v="6"/>
    <x v="5"/>
  </r>
  <r>
    <s v="CA-2015-154823"/>
    <x v="130"/>
    <d v="2015-08-25T00:00:00"/>
    <x v="1"/>
    <s v="KN-16390"/>
    <s v="Katherine Nockton"/>
    <x v="1"/>
    <s v="United States"/>
    <x v="76"/>
    <x v="15"/>
    <x v="2"/>
    <s v="FUR-CH-10003379"/>
    <s v="Furniture"/>
    <x v="1"/>
    <s v="Global Commerce Series High-Back Swivel/Tilt Chairs"/>
    <n v="598.45799999999997"/>
    <n v="3"/>
    <n v="-42.747"/>
    <x v="4"/>
    <x v="10"/>
  </r>
  <r>
    <s v="CA-2015-154823"/>
    <x v="130"/>
    <d v="2015-08-25T00:00:00"/>
    <x v="1"/>
    <s v="KN-16390"/>
    <s v="Katherine Nockton"/>
    <x v="1"/>
    <s v="United States"/>
    <x v="76"/>
    <x v="15"/>
    <x v="2"/>
    <s v="FUR-FU-10000193"/>
    <s v="Furniture"/>
    <x v="3"/>
    <s v="Tenex Chairmats For Use with Hard Floors"/>
    <n v="25.984000000000002"/>
    <n v="1"/>
    <n v="-3.8976000000000002"/>
    <x v="4"/>
    <x v="10"/>
  </r>
  <r>
    <s v="CA-2017-141201"/>
    <x v="13"/>
    <d v="2017-12-11T00:00:00"/>
    <x v="0"/>
    <s v="DB-12910"/>
    <s v="Daniel Byrd"/>
    <x v="2"/>
    <s v="United States"/>
    <x v="316"/>
    <x v="2"/>
    <x v="1"/>
    <s v="FUR-BO-10001519"/>
    <s v="Furniture"/>
    <x v="0"/>
    <s v="O'Sullivan 3-Shelf Heavy-Duty Bookcases"/>
    <n v="148.25700000000001"/>
    <n v="3"/>
    <n v="15.697800000000001"/>
    <x v="3"/>
    <x v="5"/>
  </r>
  <r>
    <s v="CA-2014-124737"/>
    <x v="743"/>
    <d v="2014-08-27T00:00:00"/>
    <x v="1"/>
    <s v="AP-10915"/>
    <s v="Arthur Prichep"/>
    <x v="0"/>
    <s v="United States"/>
    <x v="22"/>
    <x v="12"/>
    <x v="1"/>
    <s v="FUR-FU-10003274"/>
    <s v="Furniture"/>
    <x v="3"/>
    <s v="Regeneration Desk Collection"/>
    <n v="4.2240000000000002"/>
    <n v="3"/>
    <n v="1.2672000000000001"/>
    <x v="4"/>
    <x v="10"/>
  </r>
  <r>
    <s v="CA-2016-145548"/>
    <x v="367"/>
    <d v="2016-11-16T00:00:00"/>
    <x v="1"/>
    <s v="EB-13750"/>
    <s v="Edward Becker"/>
    <x v="1"/>
    <s v="United States"/>
    <x v="13"/>
    <x v="7"/>
    <x v="2"/>
    <s v="FUR-CH-10003774"/>
    <s v="Furniture"/>
    <x v="1"/>
    <s v="Global Wood Trimmed Manager's Task Chair, Khaki"/>
    <n v="245.64599999999999"/>
    <n v="3"/>
    <n v="8.1882000000000001"/>
    <x v="2"/>
    <x v="0"/>
  </r>
  <r>
    <s v="CA-2017-119494"/>
    <x v="17"/>
    <d v="2017-11-13T00:00:00"/>
    <x v="1"/>
    <s v="JE-15610"/>
    <s v="Jim Epp"/>
    <x v="1"/>
    <s v="United States"/>
    <x v="53"/>
    <x v="2"/>
    <x v="1"/>
    <s v="FUR-CH-10004675"/>
    <s v="Furniture"/>
    <x v="1"/>
    <s v="Lifetime Advantage Folding Chairs, 4/Carton"/>
    <n v="523.39200000000005"/>
    <n v="3"/>
    <n v="52.339199999999998"/>
    <x v="4"/>
    <x v="0"/>
  </r>
  <r>
    <s v="CA-2017-103443"/>
    <x v="430"/>
    <d v="2017-12-23T00:00:00"/>
    <x v="1"/>
    <s v="AT-10735"/>
    <s v="Annie Thurman"/>
    <x v="0"/>
    <s v="United States"/>
    <x v="13"/>
    <x v="7"/>
    <x v="2"/>
    <s v="FUR-FU-10000308"/>
    <s v="Furniture"/>
    <x v="3"/>
    <s v="Deflect-o Glass Clear Studded Chair Mats"/>
    <n v="124.36"/>
    <n v="2"/>
    <n v="27.359200000000001"/>
    <x v="6"/>
    <x v="5"/>
  </r>
  <r>
    <s v="US-2017-165358"/>
    <x v="511"/>
    <d v="2017-07-23T00:00:00"/>
    <x v="1"/>
    <s v="SV-20365"/>
    <s v="Seth Vernon"/>
    <x v="0"/>
    <s v="United States"/>
    <x v="3"/>
    <x v="3"/>
    <x v="2"/>
    <s v="FUR-CH-10002647"/>
    <s v="Furniture"/>
    <x v="1"/>
    <s v="Situations Contoured Folding Chairs, 4/Set"/>
    <n v="198.744"/>
    <n v="4"/>
    <n v="-14.196"/>
    <x v="2"/>
    <x v="3"/>
  </r>
  <r>
    <s v="CA-2014-150581"/>
    <x v="676"/>
    <d v="2014-04-12T00:00:00"/>
    <x v="1"/>
    <s v="NM-18445"/>
    <s v="Nathan Mautz"/>
    <x v="2"/>
    <s v="United States"/>
    <x v="41"/>
    <x v="2"/>
    <x v="1"/>
    <s v="FUR-TA-10003748"/>
    <s v="Furniture"/>
    <x v="2"/>
    <s v="Bevis 36 x 72 Conference Tables"/>
    <n v="99.591999999999999"/>
    <n v="1"/>
    <n v="2.4897999999999998"/>
    <x v="4"/>
    <x v="6"/>
  </r>
  <r>
    <s v="CA-2016-165330"/>
    <x v="106"/>
    <d v="2016-12-11T00:00:00"/>
    <x v="3"/>
    <s v="WB-21850"/>
    <s v="William Brown"/>
    <x v="0"/>
    <s v="United States"/>
    <x v="261"/>
    <x v="2"/>
    <x v="1"/>
    <s v="FUR-CH-10003774"/>
    <s v="Furniture"/>
    <x v="1"/>
    <s v="Global Wood Trimmed Manager's Task Chair, Khaki"/>
    <n v="363.92"/>
    <n v="5"/>
    <n v="-31.843"/>
    <x v="7"/>
    <x v="5"/>
  </r>
  <r>
    <s v="CA-2016-165330"/>
    <x v="106"/>
    <d v="2016-12-11T00:00:00"/>
    <x v="3"/>
    <s v="WB-21850"/>
    <s v="William Brown"/>
    <x v="0"/>
    <s v="United States"/>
    <x v="261"/>
    <x v="2"/>
    <x v="1"/>
    <s v="FUR-TA-10004619"/>
    <s v="Furniture"/>
    <x v="2"/>
    <s v="Hon Non-Folding Utility Tables"/>
    <n v="892.13599999999997"/>
    <n v="7"/>
    <n v="111.517"/>
    <x v="7"/>
    <x v="5"/>
  </r>
  <r>
    <s v="CA-2016-106950"/>
    <x v="227"/>
    <d v="2016-09-06T00:00:00"/>
    <x v="1"/>
    <s v="JE-15715"/>
    <s v="Joe Elijah"/>
    <x v="0"/>
    <s v="United States"/>
    <x v="127"/>
    <x v="30"/>
    <x v="0"/>
    <s v="FUR-TA-10001768"/>
    <s v="Furniture"/>
    <x v="2"/>
    <s v="Hon Racetrack Conference Tables"/>
    <n v="472.51799999999997"/>
    <n v="3"/>
    <n v="-149.63069999999999"/>
    <x v="4"/>
    <x v="4"/>
  </r>
  <r>
    <s v="CA-2017-128944"/>
    <x v="744"/>
    <d v="2017-06-21T00:00:00"/>
    <x v="0"/>
    <s v="KH-16330"/>
    <s v="Katharine Harms"/>
    <x v="1"/>
    <s v="United States"/>
    <x v="19"/>
    <x v="15"/>
    <x v="2"/>
    <s v="FUR-CH-10000785"/>
    <s v="Furniture"/>
    <x v="1"/>
    <s v="Global Ergonomic Managers Chair"/>
    <n v="760.11599999999999"/>
    <n v="6"/>
    <n v="-43.435200000000002"/>
    <x v="3"/>
    <x v="2"/>
  </r>
  <r>
    <s v="CA-2017-128944"/>
    <x v="744"/>
    <d v="2017-06-21T00:00:00"/>
    <x v="0"/>
    <s v="KH-16330"/>
    <s v="Katharine Harms"/>
    <x v="1"/>
    <s v="United States"/>
    <x v="19"/>
    <x v="15"/>
    <x v="2"/>
    <s v="FUR-FU-10004909"/>
    <s v="Furniture"/>
    <x v="3"/>
    <s v="Contemporary Wood/Metal Frame"/>
    <n v="38.783999999999999"/>
    <n v="3"/>
    <n v="7.2720000000000002"/>
    <x v="3"/>
    <x v="2"/>
  </r>
  <r>
    <s v="US-2016-102239"/>
    <x v="399"/>
    <d v="2016-05-06T00:00:00"/>
    <x v="2"/>
    <s v="LW-16990"/>
    <s v="Lindsay Williams"/>
    <x v="1"/>
    <s v="United States"/>
    <x v="0"/>
    <x v="34"/>
    <x v="1"/>
    <s v="FUR-TA-10003392"/>
    <s v="Furniture"/>
    <x v="2"/>
    <s v="Global Adaptabilities Conference Tables"/>
    <n v="1685.88"/>
    <n v="6"/>
    <n v="320.31720000000001"/>
    <x v="5"/>
    <x v="7"/>
  </r>
  <r>
    <s v="CA-2017-166926"/>
    <x v="451"/>
    <d v="2017-12-08T00:00:00"/>
    <x v="1"/>
    <s v="SO-20335"/>
    <s v="Sean O'Donnell"/>
    <x v="0"/>
    <s v="United States"/>
    <x v="15"/>
    <x v="13"/>
    <x v="1"/>
    <s v="FUR-BO-10002598"/>
    <s v="Furniture"/>
    <x v="0"/>
    <s v="Hon Metal Bookcases, Putty"/>
    <n v="141.96"/>
    <n v="2"/>
    <n v="41.168399999999998"/>
    <x v="1"/>
    <x v="5"/>
  </r>
  <r>
    <s v="CA-2015-128013"/>
    <x v="38"/>
    <d v="2015-08-16T00:00:00"/>
    <x v="1"/>
    <s v="MF-18250"/>
    <s v="Monica Federle"/>
    <x v="1"/>
    <s v="United States"/>
    <x v="13"/>
    <x v="7"/>
    <x v="2"/>
    <s v="FUR-FU-10000320"/>
    <s v="Furniture"/>
    <x v="3"/>
    <s v="OIC Stacking Trays"/>
    <n v="10.02"/>
    <n v="3"/>
    <n v="4.4088000000000003"/>
    <x v="1"/>
    <x v="10"/>
  </r>
  <r>
    <s v="US-2016-117541"/>
    <x v="566"/>
    <d v="2016-11-20T00:00:00"/>
    <x v="1"/>
    <s v="JM-16195"/>
    <s v="Justin MacKendrick"/>
    <x v="0"/>
    <s v="United States"/>
    <x v="19"/>
    <x v="14"/>
    <x v="2"/>
    <s v="FUR-FU-10000550"/>
    <s v="Furniture"/>
    <x v="3"/>
    <s v="Stacking Trays by OIC"/>
    <n v="19.920000000000002"/>
    <n v="4"/>
    <n v="6.5735999999999999"/>
    <x v="6"/>
    <x v="0"/>
  </r>
  <r>
    <s v="CA-2017-141439"/>
    <x v="83"/>
    <d v="2017-12-01T00:00:00"/>
    <x v="1"/>
    <s v="TT-21460"/>
    <s v="Tonja Turnell"/>
    <x v="2"/>
    <s v="United States"/>
    <x v="52"/>
    <x v="6"/>
    <x v="3"/>
    <s v="FUR-TA-10001039"/>
    <s v="Furniture"/>
    <x v="2"/>
    <s v="KI Adjustable-Height Table"/>
    <n v="257.94"/>
    <n v="3"/>
    <n v="67.064400000000006"/>
    <x v="2"/>
    <x v="0"/>
  </r>
  <r>
    <s v="CA-2017-141439"/>
    <x v="83"/>
    <d v="2017-12-01T00:00:00"/>
    <x v="1"/>
    <s v="TT-21460"/>
    <s v="Tonja Turnell"/>
    <x v="2"/>
    <s v="United States"/>
    <x v="52"/>
    <x v="6"/>
    <x v="3"/>
    <s v="FUR-FU-10001473"/>
    <s v="Furniture"/>
    <x v="3"/>
    <s v="DAX Wood Document Frame"/>
    <n v="27.46"/>
    <n v="2"/>
    <n v="9.8856000000000002"/>
    <x v="2"/>
    <x v="0"/>
  </r>
  <r>
    <s v="CA-2017-141439"/>
    <x v="83"/>
    <d v="2017-12-01T00:00:00"/>
    <x v="1"/>
    <s v="TT-21460"/>
    <s v="Tonja Turnell"/>
    <x v="2"/>
    <s v="United States"/>
    <x v="52"/>
    <x v="6"/>
    <x v="3"/>
    <s v="FUR-CH-10004287"/>
    <s v="Furniture"/>
    <x v="1"/>
    <s v="SAFCO Arco Folding Chair"/>
    <n v="828.6"/>
    <n v="3"/>
    <n v="240.29400000000001"/>
    <x v="2"/>
    <x v="0"/>
  </r>
  <r>
    <s v="CA-2015-163965"/>
    <x v="141"/>
    <d v="2015-11-27T00:00:00"/>
    <x v="1"/>
    <s v="SS-20875"/>
    <s v="Sung Shariari"/>
    <x v="0"/>
    <s v="United States"/>
    <x v="89"/>
    <x v="1"/>
    <x v="0"/>
    <s v="FUR-BO-10001337"/>
    <s v="Furniture"/>
    <x v="0"/>
    <s v="O'Sullivan Living Dimensions 2-Shelf Bookcases"/>
    <n v="290.35199999999998"/>
    <n v="3"/>
    <n v="-36.293999999999997"/>
    <x v="1"/>
    <x v="0"/>
  </r>
  <r>
    <s v="CA-2017-128783"/>
    <x v="87"/>
    <d v="2017-09-07T00:00:00"/>
    <x v="3"/>
    <s v="TG-21640"/>
    <s v="Trudy Glocke"/>
    <x v="0"/>
    <s v="United States"/>
    <x v="317"/>
    <x v="23"/>
    <x v="3"/>
    <s v="FUR-FU-10003623"/>
    <s v="Furniture"/>
    <x v="3"/>
    <s v="DataProducts Ampli Magnifier Task Lamp, Black,"/>
    <n v="135.30000000000001"/>
    <n v="5"/>
    <n v="37.884"/>
    <x v="7"/>
    <x v="4"/>
  </r>
  <r>
    <s v="CA-2014-122217"/>
    <x v="168"/>
    <d v="2014-11-29T00:00:00"/>
    <x v="1"/>
    <s v="HP-14815"/>
    <s v="Harold Pawlan"/>
    <x v="2"/>
    <s v="United States"/>
    <x v="304"/>
    <x v="25"/>
    <x v="0"/>
    <s v="FUR-FU-10002045"/>
    <s v="Furniture"/>
    <x v="3"/>
    <s v="Executive Impressions 14&quot;"/>
    <n v="111.15"/>
    <n v="5"/>
    <n v="48.905999999999999"/>
    <x v="2"/>
    <x v="0"/>
  </r>
  <r>
    <s v="US-2017-141558"/>
    <x v="745"/>
    <d v="2017-03-16T00:00:00"/>
    <x v="1"/>
    <s v="MH-17290"/>
    <s v="Marc Harrigan"/>
    <x v="2"/>
    <s v="United States"/>
    <x v="3"/>
    <x v="3"/>
    <x v="2"/>
    <s v="FUR-TA-10004086"/>
    <s v="Furniture"/>
    <x v="2"/>
    <s v="KI Adjustable-Height Table"/>
    <n v="154.76400000000001"/>
    <n v="3"/>
    <n v="-46.429200000000002"/>
    <x v="2"/>
    <x v="9"/>
  </r>
  <r>
    <s v="CA-2017-100412"/>
    <x v="313"/>
    <d v="2017-12-26T00:00:00"/>
    <x v="1"/>
    <s v="SR-20425"/>
    <s v="Sharelle Roach"/>
    <x v="2"/>
    <s v="United States"/>
    <x v="318"/>
    <x v="33"/>
    <x v="0"/>
    <s v="FUR-CH-10002647"/>
    <s v="Furniture"/>
    <x v="1"/>
    <s v="Situations Contoured Folding Chairs, 4/Set"/>
    <n v="141.96"/>
    <n v="2"/>
    <n v="35.49"/>
    <x v="4"/>
    <x v="5"/>
  </r>
  <r>
    <s v="CA-2017-142909"/>
    <x v="313"/>
    <d v="2017-12-25T00:00:00"/>
    <x v="0"/>
    <s v="AG-10330"/>
    <s v="Alex Grayson"/>
    <x v="0"/>
    <s v="United States"/>
    <x v="81"/>
    <x v="22"/>
    <x v="1"/>
    <s v="FUR-TA-10003008"/>
    <s v="Furniture"/>
    <x v="2"/>
    <s v="Lesro Round Back Collection Coffee Table, End Table"/>
    <n v="182.55"/>
    <n v="2"/>
    <n v="-135.08699999999999"/>
    <x v="0"/>
    <x v="5"/>
  </r>
  <r>
    <s v="US-2015-136749"/>
    <x v="344"/>
    <d v="2015-12-27T00:00:00"/>
    <x v="0"/>
    <s v="LH-16900"/>
    <s v="Lena Hernandez"/>
    <x v="0"/>
    <s v="United States"/>
    <x v="29"/>
    <x v="24"/>
    <x v="0"/>
    <s v="FUR-FU-10000747"/>
    <s v="Furniture"/>
    <x v="3"/>
    <s v="Tenex B1-RE Series Chair Mats for Low Pile Carpets"/>
    <n v="275.88"/>
    <n v="6"/>
    <n v="46.8996"/>
    <x v="3"/>
    <x v="5"/>
  </r>
  <r>
    <s v="CA-2014-117464"/>
    <x v="746"/>
    <d v="2014-07-24T00:00:00"/>
    <x v="0"/>
    <s v="NP-18325"/>
    <s v="Naresj Patel"/>
    <x v="0"/>
    <s v="United States"/>
    <x v="28"/>
    <x v="2"/>
    <x v="1"/>
    <s v="FUR-CH-10000155"/>
    <s v="Furniture"/>
    <x v="1"/>
    <s v="Global Comet Stacking Armless Chair"/>
    <n v="717.72"/>
    <n v="3"/>
    <n v="71.772000000000006"/>
    <x v="3"/>
    <x v="3"/>
  </r>
  <r>
    <s v="CA-2014-117464"/>
    <x v="746"/>
    <d v="2014-07-24T00:00:00"/>
    <x v="0"/>
    <s v="NP-18325"/>
    <s v="Naresj Patel"/>
    <x v="0"/>
    <s v="United States"/>
    <x v="28"/>
    <x v="2"/>
    <x v="1"/>
    <s v="FUR-TA-10004767"/>
    <s v="Furniture"/>
    <x v="2"/>
    <s v="Safco Drafting Table"/>
    <n v="170.352"/>
    <n v="3"/>
    <n v="19.1646"/>
    <x v="3"/>
    <x v="3"/>
  </r>
  <r>
    <s v="US-2017-168613"/>
    <x v="747"/>
    <d v="2017-10-14T00:00:00"/>
    <x v="1"/>
    <s v="GM-14440"/>
    <s v="Gary McGarr"/>
    <x v="0"/>
    <s v="United States"/>
    <x v="13"/>
    <x v="7"/>
    <x v="2"/>
    <s v="FUR-CH-10002372"/>
    <s v="Furniture"/>
    <x v="1"/>
    <s v="Office Star - Ergonomically Designed Knee Chair"/>
    <n v="145.76400000000001"/>
    <n v="2"/>
    <n v="3.2391999999999999"/>
    <x v="6"/>
    <x v="1"/>
  </r>
  <r>
    <s v="CA-2017-128853"/>
    <x v="488"/>
    <d v="2017-04-23T00:00:00"/>
    <x v="2"/>
    <s v="JM-15250"/>
    <s v="Janet Martin"/>
    <x v="0"/>
    <s v="United States"/>
    <x v="237"/>
    <x v="32"/>
    <x v="2"/>
    <s v="FUR-CH-10004218"/>
    <s v="Furniture"/>
    <x v="1"/>
    <s v="Global Fabric Manager's Chair, Dark Gray"/>
    <n v="908.82"/>
    <n v="9"/>
    <n v="227.20500000000001"/>
    <x v="3"/>
    <x v="6"/>
  </r>
  <r>
    <s v="CA-2017-133102"/>
    <x v="301"/>
    <d v="2017-08-24T00:00:00"/>
    <x v="1"/>
    <s v="ED-13885"/>
    <s v="Emily Ducich"/>
    <x v="2"/>
    <s v="United States"/>
    <x v="6"/>
    <x v="5"/>
    <x v="3"/>
    <s v="FUR-CH-10002017"/>
    <s v="Furniture"/>
    <x v="1"/>
    <s v="SAFCO Optional Arm Kit for Workspace Cribbage Stacking Chair"/>
    <n v="74.591999999999999"/>
    <n v="4"/>
    <n v="-2.1312000000000002"/>
    <x v="1"/>
    <x v="10"/>
  </r>
  <r>
    <s v="CA-2017-133102"/>
    <x v="301"/>
    <d v="2017-08-24T00:00:00"/>
    <x v="1"/>
    <s v="ED-13885"/>
    <s v="Emily Ducich"/>
    <x v="2"/>
    <s v="United States"/>
    <x v="6"/>
    <x v="5"/>
    <x v="3"/>
    <s v="FUR-FU-10003247"/>
    <s v="Furniture"/>
    <x v="3"/>
    <s v="36X48 HARDFLOOR CHAIRMAT"/>
    <n v="16.783999999999999"/>
    <n v="2"/>
    <n v="-22.238800000000001"/>
    <x v="1"/>
    <x v="10"/>
  </r>
  <r>
    <s v="CA-2016-164399"/>
    <x v="689"/>
    <d v="2016-11-15T00:00:00"/>
    <x v="2"/>
    <s v="DW-13480"/>
    <s v="Dianna Wilson"/>
    <x v="2"/>
    <s v="United States"/>
    <x v="53"/>
    <x v="2"/>
    <x v="1"/>
    <s v="FUR-TA-10003392"/>
    <s v="Furniture"/>
    <x v="2"/>
    <s v="Global Adaptabilities Conference Tables"/>
    <n v="674.35199999999998"/>
    <n v="3"/>
    <n v="-8.4293999999999993"/>
    <x v="0"/>
    <x v="0"/>
  </r>
  <r>
    <s v="CA-2016-147683"/>
    <x v="282"/>
    <d v="2016-11-17T00:00:00"/>
    <x v="1"/>
    <s v="PO-19180"/>
    <s v="Philisse Overcash"/>
    <x v="2"/>
    <s v="United States"/>
    <x v="15"/>
    <x v="13"/>
    <x v="1"/>
    <s v="FUR-FU-10004848"/>
    <s v="Furniture"/>
    <x v="3"/>
    <s v="DAX Solid Wood Frames"/>
    <n v="19.54"/>
    <n v="2"/>
    <n v="7.2298"/>
    <x v="4"/>
    <x v="0"/>
  </r>
  <r>
    <s v="CA-2016-104276"/>
    <x v="673"/>
    <d v="2016-12-03T00:00:00"/>
    <x v="1"/>
    <s v="HF-14995"/>
    <s v="Herbert Flentye"/>
    <x v="0"/>
    <s v="United States"/>
    <x v="1"/>
    <x v="1"/>
    <x v="0"/>
    <s v="FUR-TA-10001039"/>
    <s v="Furniture"/>
    <x v="2"/>
    <s v="KI Adjustable-Height Table"/>
    <n v="331.02300000000002"/>
    <n v="7"/>
    <n v="-114.35339999999999"/>
    <x v="6"/>
    <x v="0"/>
  </r>
  <r>
    <s v="CA-2016-120369"/>
    <x v="48"/>
    <d v="2016-10-28T00:00:00"/>
    <x v="3"/>
    <s v="VB-21745"/>
    <s v="Victoria Brennan"/>
    <x v="1"/>
    <s v="United States"/>
    <x v="77"/>
    <x v="7"/>
    <x v="2"/>
    <s v="FUR-FU-10003806"/>
    <s v="Furniture"/>
    <x v="3"/>
    <s v="Tenex Chairmat w/ Average Lip, 45&quot; x 53&quot;"/>
    <n v="756.8"/>
    <n v="5"/>
    <n v="75.680000000000007"/>
    <x v="7"/>
    <x v="1"/>
  </r>
  <r>
    <s v="CA-2014-118276"/>
    <x v="527"/>
    <d v="2015-01-02T00:00:00"/>
    <x v="1"/>
    <s v="MG-17890"/>
    <s v="Michael Granlund"/>
    <x v="2"/>
    <s v="United States"/>
    <x v="317"/>
    <x v="8"/>
    <x v="3"/>
    <s v="FUR-FU-10002111"/>
    <s v="Furniture"/>
    <x v="3"/>
    <s v="Master Caster Door Stop, Large Brown"/>
    <n v="8.7360000000000007"/>
    <n v="3"/>
    <n v="-4.8048000000000002"/>
    <x v="4"/>
    <x v="5"/>
  </r>
  <r>
    <s v="CA-2017-137414"/>
    <x v="125"/>
    <d v="2017-10-06T00:00:00"/>
    <x v="1"/>
    <s v="CM-12115"/>
    <s v="Chad McGuire"/>
    <x v="0"/>
    <s v="United States"/>
    <x v="28"/>
    <x v="2"/>
    <x v="1"/>
    <s v="FUR-FU-10001424"/>
    <s v="Furniture"/>
    <x v="3"/>
    <s v="Dax Clear Box Frame"/>
    <n v="17.46"/>
    <n v="2"/>
    <n v="5.9363999999999999"/>
    <x v="4"/>
    <x v="1"/>
  </r>
  <r>
    <s v="CA-2016-109953"/>
    <x v="197"/>
    <d v="2016-07-18T00:00:00"/>
    <x v="1"/>
    <s v="RB-19360"/>
    <s v="Raymond Buch"/>
    <x v="0"/>
    <s v="United States"/>
    <x v="28"/>
    <x v="2"/>
    <x v="1"/>
    <s v="FUR-FU-10000073"/>
    <s v="Furniture"/>
    <x v="3"/>
    <s v="Deflect-O Glasstique Clear Desk Accessories"/>
    <n v="30.8"/>
    <n v="4"/>
    <n v="10.164"/>
    <x v="4"/>
    <x v="3"/>
  </r>
  <r>
    <s v="CA-2016-137337"/>
    <x v="177"/>
    <d v="2016-03-12T00:00:00"/>
    <x v="1"/>
    <s v="GB-14575"/>
    <s v="Giulietta Baptist"/>
    <x v="0"/>
    <s v="United States"/>
    <x v="13"/>
    <x v="7"/>
    <x v="2"/>
    <s v="FUR-FU-10003347"/>
    <s v="Furniture"/>
    <x v="3"/>
    <s v="Coloredge Poster Frame"/>
    <n v="113.6"/>
    <n v="8"/>
    <n v="44.304000000000002"/>
    <x v="4"/>
    <x v="9"/>
  </r>
  <r>
    <s v="CA-2016-101651"/>
    <x v="695"/>
    <d v="2016-12-30T00:00:00"/>
    <x v="1"/>
    <s v="SC-20305"/>
    <s v="Sean Christensen"/>
    <x v="0"/>
    <s v="United States"/>
    <x v="124"/>
    <x v="2"/>
    <x v="1"/>
    <s v="FUR-FU-10000771"/>
    <s v="Furniture"/>
    <x v="3"/>
    <s v="Eldon 200 Class Desk Accessories, Smoke"/>
    <n v="43.96"/>
    <n v="7"/>
    <n v="18.463200000000001"/>
    <x v="6"/>
    <x v="5"/>
  </r>
  <r>
    <s v="CA-2017-136651"/>
    <x v="748"/>
    <d v="2017-04-25T00:00:00"/>
    <x v="0"/>
    <s v="JF-15355"/>
    <s v="Jay Fein"/>
    <x v="0"/>
    <s v="United States"/>
    <x v="102"/>
    <x v="2"/>
    <x v="1"/>
    <s v="FUR-FU-10002445"/>
    <s v="Furniture"/>
    <x v="3"/>
    <s v="DAX Two-Tone Rosewood/Black Document Frame, Desktop, 5 x 7"/>
    <n v="66.36"/>
    <n v="7"/>
    <n v="26.544"/>
    <x v="3"/>
    <x v="6"/>
  </r>
  <r>
    <s v="CA-2017-136651"/>
    <x v="748"/>
    <d v="2017-04-25T00:00:00"/>
    <x v="0"/>
    <s v="JF-15355"/>
    <s v="Jay Fein"/>
    <x v="0"/>
    <s v="United States"/>
    <x v="102"/>
    <x v="2"/>
    <x v="1"/>
    <s v="FUR-FU-10004864"/>
    <s v="Furniture"/>
    <x v="3"/>
    <s v="Eldon 500 Class Desk Accessories"/>
    <n v="24.14"/>
    <n v="2"/>
    <n v="7.9661999999999997"/>
    <x v="3"/>
    <x v="6"/>
  </r>
  <r>
    <s v="CA-2017-118892"/>
    <x v="301"/>
    <d v="2017-08-22T00:00:00"/>
    <x v="0"/>
    <s v="TP-21415"/>
    <s v="Tom Prescott"/>
    <x v="0"/>
    <s v="United States"/>
    <x v="3"/>
    <x v="3"/>
    <x v="2"/>
    <s v="FUR-CH-10002024"/>
    <s v="Furniture"/>
    <x v="1"/>
    <s v="HON 5400 Series Task Chairs for Big and Tall"/>
    <n v="4416.174"/>
    <n v="9"/>
    <n v="-630.88199999999995"/>
    <x v="2"/>
    <x v="10"/>
  </r>
  <r>
    <s v="US-2014-127978"/>
    <x v="749"/>
    <d v="2014-03-08T00:00:00"/>
    <x v="1"/>
    <s v="JS-15595"/>
    <s v="Jill Stevenson"/>
    <x v="1"/>
    <s v="United States"/>
    <x v="29"/>
    <x v="15"/>
    <x v="2"/>
    <s v="FUR-BO-10001972"/>
    <s v="Furniture"/>
    <x v="0"/>
    <s v="O'Sullivan 4-Shelf Bookcase in Odessa Pine"/>
    <n v="302.45"/>
    <n v="5"/>
    <n v="-199.61699999999999"/>
    <x v="2"/>
    <x v="9"/>
  </r>
  <r>
    <s v="CA-2016-152730"/>
    <x v="82"/>
    <d v="2016-06-04T00:00:00"/>
    <x v="1"/>
    <s v="EM-14140"/>
    <s v="Eugene Moren"/>
    <x v="2"/>
    <s v="United States"/>
    <x v="319"/>
    <x v="16"/>
    <x v="3"/>
    <s v="FUR-FU-10001037"/>
    <s v="Furniture"/>
    <x v="3"/>
    <s v="DAX Charcoal/Nickel-Tone Document Frame, 5 x 7"/>
    <n v="47.4"/>
    <n v="5"/>
    <n v="21.33"/>
    <x v="2"/>
    <x v="7"/>
  </r>
  <r>
    <s v="US-2014-143721"/>
    <x v="255"/>
    <d v="2014-11-26T00:00:00"/>
    <x v="0"/>
    <s v="DK-12835"/>
    <s v="Damala Kotsonis"/>
    <x v="1"/>
    <s v="United States"/>
    <x v="6"/>
    <x v="5"/>
    <x v="3"/>
    <s v="FUR-CH-10001973"/>
    <s v="Furniture"/>
    <x v="1"/>
    <s v="Office Star Flex Back Scooter Chair with White Frame"/>
    <n v="155.37200000000001"/>
    <n v="2"/>
    <n v="-35.513599999999997"/>
    <x v="0"/>
    <x v="0"/>
  </r>
  <r>
    <s v="CA-2016-133368"/>
    <x v="750"/>
    <d v="2016-01-20T00:00:00"/>
    <x v="1"/>
    <s v="AG-10675"/>
    <s v="Anna Gayman"/>
    <x v="0"/>
    <s v="United States"/>
    <x v="41"/>
    <x v="30"/>
    <x v="0"/>
    <s v="FUR-FU-10003374"/>
    <s v="Furniture"/>
    <x v="3"/>
    <s v="Electrix Fluorescent Magnifier Lamps &amp; Weighted Base"/>
    <n v="315.77600000000001"/>
    <n v="8"/>
    <n v="31.5776"/>
    <x v="6"/>
    <x v="8"/>
  </r>
  <r>
    <s v="CA-2016-123337"/>
    <x v="751"/>
    <d v="2016-09-22T00:00:00"/>
    <x v="1"/>
    <s v="KD-16495"/>
    <s v="Keith Dawkins"/>
    <x v="1"/>
    <s v="United States"/>
    <x v="124"/>
    <x v="2"/>
    <x v="1"/>
    <s v="FUR-BO-10001918"/>
    <s v="Furniture"/>
    <x v="0"/>
    <s v="Sauder Forest Hills Library with Doors, Woodland Oak Finish"/>
    <n v="273.666"/>
    <n v="2"/>
    <n v="-12.878399999999999"/>
    <x v="6"/>
    <x v="4"/>
  </r>
  <r>
    <s v="CA-2015-144519"/>
    <x v="18"/>
    <d v="2015-11-17T00:00:00"/>
    <x v="1"/>
    <s v="AW-10930"/>
    <s v="Arthur Wiediger"/>
    <x v="2"/>
    <s v="United States"/>
    <x v="320"/>
    <x v="46"/>
    <x v="1"/>
    <s v="FUR-FU-10000794"/>
    <s v="Furniture"/>
    <x v="3"/>
    <s v="Eldon Stackable Tray, Side-Load, Legal, Smoke"/>
    <n v="63.98"/>
    <n v="7"/>
    <n v="21.7532"/>
    <x v="4"/>
    <x v="0"/>
  </r>
  <r>
    <s v="CA-2017-169439"/>
    <x v="198"/>
    <d v="2017-09-13T00:00:00"/>
    <x v="1"/>
    <s v="LC-17140"/>
    <s v="Logan Currie"/>
    <x v="0"/>
    <s v="United States"/>
    <x v="59"/>
    <x v="15"/>
    <x v="2"/>
    <s v="FUR-FU-10000723"/>
    <s v="Furniture"/>
    <x v="3"/>
    <s v="Deflect-o EconoMat Studded, No Bevel Mat for Low Pile Carpeting"/>
    <n v="66.111999999999995"/>
    <n v="2"/>
    <n v="-9.0904000000000007"/>
    <x v="4"/>
    <x v="4"/>
  </r>
  <r>
    <s v="CA-2016-149965"/>
    <x v="210"/>
    <d v="2016-06-25T00:00:00"/>
    <x v="1"/>
    <s v="BS-11365"/>
    <s v="Bill Shonely"/>
    <x v="1"/>
    <s v="United States"/>
    <x v="258"/>
    <x v="37"/>
    <x v="3"/>
    <s v="FUR-FU-10004270"/>
    <s v="Furniture"/>
    <x v="3"/>
    <s v="Executive Impressions 13&quot; Clairmont Wall Clock"/>
    <n v="57.69"/>
    <n v="3"/>
    <n v="23.652899999999999"/>
    <x v="2"/>
    <x v="2"/>
  </r>
  <r>
    <s v="CA-2016-113656"/>
    <x v="752"/>
    <d v="2016-01-29T00:00:00"/>
    <x v="1"/>
    <s v="CB-12415"/>
    <s v="Christy Brittain"/>
    <x v="0"/>
    <s v="United States"/>
    <x v="2"/>
    <x v="2"/>
    <x v="1"/>
    <s v="FUR-FU-10000719"/>
    <s v="Furniture"/>
    <x v="3"/>
    <s v="DAX Cubicle Frames, 8-1/2 x 11"/>
    <n v="59.99"/>
    <n v="7"/>
    <n v="21.596399999999999"/>
    <x v="6"/>
    <x v="8"/>
  </r>
  <r>
    <s v="CA-2015-148964"/>
    <x v="753"/>
    <d v="2015-05-31T00:00:00"/>
    <x v="1"/>
    <s v="RD-19900"/>
    <s v="Ruben Dartt"/>
    <x v="0"/>
    <s v="United States"/>
    <x v="321"/>
    <x v="13"/>
    <x v="1"/>
    <s v="FUR-FU-10003849"/>
    <s v="Furniture"/>
    <x v="3"/>
    <s v="DAX Metal Frame, Desktop, Stepped-Edge"/>
    <n v="20.239999999999998"/>
    <n v="1"/>
    <n v="7.8936000000000002"/>
    <x v="2"/>
    <x v="7"/>
  </r>
  <r>
    <s v="CA-2014-163468"/>
    <x v="356"/>
    <d v="2014-11-21T00:00:00"/>
    <x v="2"/>
    <s v="JK-15730"/>
    <s v="Joe Kamberova"/>
    <x v="0"/>
    <s v="United States"/>
    <x v="322"/>
    <x v="8"/>
    <x v="3"/>
    <s v="FUR-TA-10002533"/>
    <s v="Furniture"/>
    <x v="2"/>
    <s v="BPI Conference Tables"/>
    <n v="292.10000000000002"/>
    <n v="4"/>
    <n v="-175.26"/>
    <x v="0"/>
    <x v="0"/>
  </r>
  <r>
    <s v="CA-2014-163468"/>
    <x v="356"/>
    <d v="2014-11-21T00:00:00"/>
    <x v="2"/>
    <s v="JK-15730"/>
    <s v="Joe Kamberova"/>
    <x v="0"/>
    <s v="United States"/>
    <x v="322"/>
    <x v="8"/>
    <x v="3"/>
    <s v="FUR-FU-10001546"/>
    <s v="Furniture"/>
    <x v="3"/>
    <s v="Dana Swing-Arm Lamps"/>
    <n v="8.5440000000000005"/>
    <n v="2"/>
    <n v="-7.476"/>
    <x v="0"/>
    <x v="0"/>
  </r>
  <r>
    <s v="CA-2014-163468"/>
    <x v="356"/>
    <d v="2014-11-21T00:00:00"/>
    <x v="2"/>
    <s v="JK-15730"/>
    <s v="Joe Kamberova"/>
    <x v="0"/>
    <s v="United States"/>
    <x v="322"/>
    <x v="8"/>
    <x v="3"/>
    <s v="FUR-BO-10003546"/>
    <s v="Furniture"/>
    <x v="0"/>
    <s v="Hon 4-Shelf Metal Bookcases"/>
    <n v="424.11599999999999"/>
    <n v="6"/>
    <n v="-30.294"/>
    <x v="0"/>
    <x v="0"/>
  </r>
  <r>
    <s v="US-2017-117450"/>
    <x v="362"/>
    <d v="2017-09-08T00:00:00"/>
    <x v="1"/>
    <s v="DO-13645"/>
    <s v="Doug O'Connell"/>
    <x v="0"/>
    <s v="United States"/>
    <x v="98"/>
    <x v="1"/>
    <x v="0"/>
    <s v="FUR-CH-10003817"/>
    <s v="Furniture"/>
    <x v="1"/>
    <s v="Global Value Steno Chair, Gray"/>
    <n v="97.183999999999997"/>
    <n v="2"/>
    <n v="6.0739999999999998"/>
    <x v="4"/>
    <x v="4"/>
  </r>
  <r>
    <s v="CA-2014-137274"/>
    <x v="754"/>
    <d v="2014-04-02T00:00:00"/>
    <x v="1"/>
    <s v="MG-18145"/>
    <s v="Mike Gockenbach"/>
    <x v="0"/>
    <s v="United States"/>
    <x v="215"/>
    <x v="5"/>
    <x v="3"/>
    <s v="FUR-TA-10001889"/>
    <s v="Furniture"/>
    <x v="2"/>
    <s v="Bush Advantage Collection Racetrack Conference Table"/>
    <n v="890.84100000000001"/>
    <n v="3"/>
    <n v="-152.71559999999999"/>
    <x v="4"/>
    <x v="9"/>
  </r>
  <r>
    <s v="CA-2016-144092"/>
    <x v="541"/>
    <d v="2016-11-07T00:00:00"/>
    <x v="0"/>
    <s v="LH-17155"/>
    <s v="Logan Haushalter"/>
    <x v="0"/>
    <s v="United States"/>
    <x v="124"/>
    <x v="2"/>
    <x v="1"/>
    <s v="FUR-CH-10004875"/>
    <s v="Furniture"/>
    <x v="1"/>
    <s v="Harbour Creations 67200 Series Stacking Chairs"/>
    <n v="113.88800000000001"/>
    <n v="2"/>
    <n v="9.9651999999999994"/>
    <x v="3"/>
    <x v="0"/>
  </r>
  <r>
    <s v="CA-2016-132066"/>
    <x v="755"/>
    <d v="2016-10-20T00:00:00"/>
    <x v="1"/>
    <s v="NB-18655"/>
    <s v="Nona Balk"/>
    <x v="1"/>
    <s v="United States"/>
    <x v="13"/>
    <x v="7"/>
    <x v="2"/>
    <s v="FUR-TA-10001539"/>
    <s v="Furniture"/>
    <x v="2"/>
    <s v="Chromcraft Rectangular Conference Tables"/>
    <n v="142.18199999999999"/>
    <n v="1"/>
    <n v="-37.915199999999999"/>
    <x v="4"/>
    <x v="1"/>
  </r>
  <r>
    <s v="CA-2017-100097"/>
    <x v="83"/>
    <d v="2017-11-29T00:00:00"/>
    <x v="0"/>
    <s v="MN-17935"/>
    <s v="Michael Nguyen"/>
    <x v="0"/>
    <s v="United States"/>
    <x v="13"/>
    <x v="7"/>
    <x v="2"/>
    <s v="FUR-FU-10003623"/>
    <s v="Furniture"/>
    <x v="3"/>
    <s v="DataProducts Ampli Magnifier Task Lamp, Black,"/>
    <n v="135.30000000000001"/>
    <n v="5"/>
    <n v="37.884"/>
    <x v="0"/>
    <x v="0"/>
  </r>
  <r>
    <s v="US-2017-126053"/>
    <x v="446"/>
    <d v="2017-12-08T00:00:00"/>
    <x v="2"/>
    <s v="CS-11950"/>
    <s v="Carlos Soltero"/>
    <x v="0"/>
    <s v="United States"/>
    <x v="13"/>
    <x v="7"/>
    <x v="2"/>
    <s v="FUR-FU-10001934"/>
    <s v="Furniture"/>
    <x v="3"/>
    <s v="Magnifier Swing Arm Lamp"/>
    <n v="41.96"/>
    <n v="2"/>
    <n v="10.909599999999999"/>
    <x v="0"/>
    <x v="5"/>
  </r>
  <r>
    <s v="US-2014-131275"/>
    <x v="385"/>
    <d v="2014-03-24T00:00:00"/>
    <x v="1"/>
    <s v="SC-20050"/>
    <s v="Sample Company A"/>
    <x v="2"/>
    <s v="United States"/>
    <x v="323"/>
    <x v="2"/>
    <x v="1"/>
    <s v="FUR-FU-10004597"/>
    <s v="Furniture"/>
    <x v="3"/>
    <s v="Eldon Cleatmat Chair Mats for Medium Pile Carpets"/>
    <n v="111"/>
    <n v="2"/>
    <n v="14.43"/>
    <x v="6"/>
    <x v="9"/>
  </r>
  <r>
    <s v="CA-2016-149349"/>
    <x v="689"/>
    <d v="2016-11-13T00:00:00"/>
    <x v="2"/>
    <s v="SP-20650"/>
    <s v="Stephanie Phelps"/>
    <x v="1"/>
    <s v="United States"/>
    <x v="9"/>
    <x v="8"/>
    <x v="3"/>
    <s v="FUR-FU-10001037"/>
    <s v="Furniture"/>
    <x v="3"/>
    <s v="DAX Charcoal/Nickel-Tone Document Frame, 5 x 7"/>
    <n v="22.751999999999999"/>
    <n v="6"/>
    <n v="-8.532"/>
    <x v="5"/>
    <x v="0"/>
  </r>
  <r>
    <s v="CA-2015-125563"/>
    <x v="756"/>
    <d v="2015-04-17T00:00:00"/>
    <x v="1"/>
    <s v="PR-18880"/>
    <s v="Patrick Ryan"/>
    <x v="0"/>
    <s v="United States"/>
    <x v="26"/>
    <x v="1"/>
    <x v="0"/>
    <s v="FUR-FU-10001290"/>
    <s v="Furniture"/>
    <x v="3"/>
    <s v="Executive Impressions Supervisor Wall Clock"/>
    <n v="67.36"/>
    <n v="2"/>
    <n v="10.103999999999999"/>
    <x v="6"/>
    <x v="6"/>
  </r>
  <r>
    <s v="CA-2015-125563"/>
    <x v="756"/>
    <d v="2015-04-17T00:00:00"/>
    <x v="1"/>
    <s v="PR-18880"/>
    <s v="Patrick Ryan"/>
    <x v="0"/>
    <s v="United States"/>
    <x v="26"/>
    <x v="1"/>
    <x v="0"/>
    <s v="FUR-FU-10000087"/>
    <s v="Furniture"/>
    <x v="3"/>
    <s v="Executive Impressions 14&quot; Two-Color Numerals Wall Clock"/>
    <n v="54.527999999999999"/>
    <n v="3"/>
    <n v="14.313599999999999"/>
    <x v="6"/>
    <x v="6"/>
  </r>
  <r>
    <s v="CA-2015-113152"/>
    <x v="344"/>
    <d v="2015-12-30T00:00:00"/>
    <x v="1"/>
    <s v="JK-15625"/>
    <s v="Jim Karlsson"/>
    <x v="0"/>
    <s v="United States"/>
    <x v="13"/>
    <x v="7"/>
    <x v="2"/>
    <s v="FUR-BO-10002613"/>
    <s v="Furniture"/>
    <x v="0"/>
    <s v="Atlantic Metals Mobile 4-Shelf Bookcases, Custom Colors"/>
    <n v="449.56799999999998"/>
    <n v="2"/>
    <n v="56.195999999999998"/>
    <x v="2"/>
    <x v="5"/>
  </r>
  <r>
    <s v="CA-2014-163412"/>
    <x v="191"/>
    <d v="2014-12-23T00:00:00"/>
    <x v="0"/>
    <s v="SM-20950"/>
    <s v="Suzanne McNair"/>
    <x v="1"/>
    <s v="United States"/>
    <x v="13"/>
    <x v="7"/>
    <x v="2"/>
    <s v="FUR-CH-10004875"/>
    <s v="Furniture"/>
    <x v="1"/>
    <s v="Harbour Creations 67200 Series Stacking Chairs"/>
    <n v="192.18600000000001"/>
    <n v="3"/>
    <n v="36.3018"/>
    <x v="0"/>
    <x v="5"/>
  </r>
  <r>
    <s v="CA-2014-116190"/>
    <x v="503"/>
    <d v="2014-08-01T00:00:00"/>
    <x v="1"/>
    <s v="SG-20470"/>
    <s v="Sheri Gordon"/>
    <x v="0"/>
    <s v="United States"/>
    <x v="182"/>
    <x v="24"/>
    <x v="0"/>
    <s v="FUR-CH-10000553"/>
    <s v="Furniture"/>
    <x v="1"/>
    <s v="Metal Folding Chairs, Beige, 4/Carton"/>
    <n v="67.88"/>
    <n v="2"/>
    <n v="18.3276"/>
    <x v="6"/>
    <x v="3"/>
  </r>
  <r>
    <s v="CA-2014-116190"/>
    <x v="503"/>
    <d v="2014-08-01T00:00:00"/>
    <x v="1"/>
    <s v="SG-20470"/>
    <s v="Sheri Gordon"/>
    <x v="0"/>
    <s v="United States"/>
    <x v="182"/>
    <x v="24"/>
    <x v="0"/>
    <s v="FUR-FU-10000719"/>
    <s v="Furniture"/>
    <x v="3"/>
    <s v="DAX Cubicle Frames, 8-1/2 x 11"/>
    <n v="25.71"/>
    <n v="3"/>
    <n v="9.2555999999999994"/>
    <x v="6"/>
    <x v="3"/>
  </r>
  <r>
    <s v="CA-2017-168389"/>
    <x v="246"/>
    <d v="2017-12-17T00:00:00"/>
    <x v="1"/>
    <s v="DV-13045"/>
    <s v="Darrin Van Huff"/>
    <x v="1"/>
    <s v="United States"/>
    <x v="51"/>
    <x v="1"/>
    <x v="0"/>
    <s v="FUR-TA-10004289"/>
    <s v="Furniture"/>
    <x v="2"/>
    <s v="BoxOffice By Design Rectangular and Half-Moon Meeting Room Tables"/>
    <n v="721.875"/>
    <n v="6"/>
    <n v="-420"/>
    <x v="6"/>
    <x v="5"/>
  </r>
  <r>
    <s v="CA-2017-168389"/>
    <x v="246"/>
    <d v="2017-12-17T00:00:00"/>
    <x v="1"/>
    <s v="DV-13045"/>
    <s v="Darrin Van Huff"/>
    <x v="1"/>
    <s v="United States"/>
    <x v="51"/>
    <x v="1"/>
    <x v="0"/>
    <s v="FUR-CH-10000225"/>
    <s v="Furniture"/>
    <x v="1"/>
    <s v="Global Geo Office Task Chair, Gray"/>
    <n v="64.784000000000006"/>
    <n v="1"/>
    <n v="-12.147"/>
    <x v="6"/>
    <x v="5"/>
  </r>
  <r>
    <s v="CA-2016-114748"/>
    <x v="714"/>
    <d v="2016-10-14T00:00:00"/>
    <x v="1"/>
    <s v="MZ-17335"/>
    <s v="Maria Zettner"/>
    <x v="2"/>
    <s v="United States"/>
    <x v="43"/>
    <x v="22"/>
    <x v="1"/>
    <s v="FUR-FU-10001488"/>
    <s v="Furniture"/>
    <x v="3"/>
    <s v="Tenex 46&quot; x 60&quot; Computer Anti-Static Chairmat, Rectangular Shaped"/>
    <n v="169.56800000000001"/>
    <n v="2"/>
    <n v="0"/>
    <x v="2"/>
    <x v="1"/>
  </r>
  <r>
    <s v="US-2014-115189"/>
    <x v="757"/>
    <d v="2015-01-03T00:00:00"/>
    <x v="0"/>
    <s v="AR-10345"/>
    <s v="Alex Russell"/>
    <x v="1"/>
    <s v="United States"/>
    <x v="3"/>
    <x v="3"/>
    <x v="2"/>
    <s v="FUR-TA-10004575"/>
    <s v="Furniture"/>
    <x v="2"/>
    <s v="Hon 5100 Series Wood Tables"/>
    <n v="523.76400000000001"/>
    <n v="3"/>
    <n v="-192.04679999999999"/>
    <x v="4"/>
    <x v="5"/>
  </r>
  <r>
    <s v="CA-2016-163594"/>
    <x v="188"/>
    <d v="2016-04-14T00:00:00"/>
    <x v="2"/>
    <s v="JF-15295"/>
    <s v="Jason Fortune-"/>
    <x v="0"/>
    <s v="United States"/>
    <x v="2"/>
    <x v="2"/>
    <x v="1"/>
    <s v="FUR-CH-10000225"/>
    <s v="Furniture"/>
    <x v="1"/>
    <s v="Global Geo Office Task Chair, Gray"/>
    <n v="194.352"/>
    <n v="3"/>
    <n v="-36.441000000000003"/>
    <x v="3"/>
    <x v="6"/>
  </r>
  <r>
    <s v="CA-2016-127243"/>
    <x v="597"/>
    <d v="2016-12-04T00:00:00"/>
    <x v="1"/>
    <s v="DS-13180"/>
    <s v="David Smith"/>
    <x v="1"/>
    <s v="United States"/>
    <x v="3"/>
    <x v="3"/>
    <x v="2"/>
    <s v="FUR-CH-10002647"/>
    <s v="Furniture"/>
    <x v="1"/>
    <s v="Situations Contoured Folding Chairs, 4/Set"/>
    <n v="347.80200000000002"/>
    <n v="7"/>
    <n v="-24.843"/>
    <x v="6"/>
    <x v="0"/>
  </r>
  <r>
    <s v="CA-2016-105732"/>
    <x v="758"/>
    <d v="2016-09-18T00:00:00"/>
    <x v="1"/>
    <s v="AG-10270"/>
    <s v="Alejandro Grove"/>
    <x v="0"/>
    <s v="United States"/>
    <x v="70"/>
    <x v="27"/>
    <x v="3"/>
    <s v="FUR-FU-10003664"/>
    <s v="Furniture"/>
    <x v="3"/>
    <s v="Electrix Architect's Clamp-On Swing Arm Lamp, Black"/>
    <n v="1336.44"/>
    <n v="14"/>
    <n v="387.56760000000003"/>
    <x v="2"/>
    <x v="4"/>
  </r>
  <r>
    <s v="CA-2017-108035"/>
    <x v="759"/>
    <d v="2017-12-03T00:00:00"/>
    <x v="1"/>
    <s v="TT-21070"/>
    <s v="Ted Trevino"/>
    <x v="0"/>
    <s v="United States"/>
    <x v="196"/>
    <x v="9"/>
    <x v="0"/>
    <s v="FUR-CH-10000454"/>
    <s v="Furniture"/>
    <x v="1"/>
    <s v="Hon Deluxe Fabric Upholstered Stacking Chairs, Rounded Back"/>
    <n v="390.36799999999999"/>
    <n v="2"/>
    <n v="48.795999999999999"/>
    <x v="4"/>
    <x v="0"/>
  </r>
  <r>
    <s v="CA-2017-108035"/>
    <x v="759"/>
    <d v="2017-12-03T00:00:00"/>
    <x v="1"/>
    <s v="TT-21070"/>
    <s v="Ted Trevino"/>
    <x v="0"/>
    <s v="United States"/>
    <x v="196"/>
    <x v="9"/>
    <x v="0"/>
    <s v="FUR-FU-10004017"/>
    <s v="Furniture"/>
    <x v="3"/>
    <s v="Executive Impressions 13&quot; Chairman Wall Clock"/>
    <n v="101.52"/>
    <n v="5"/>
    <n v="19.035"/>
    <x v="4"/>
    <x v="0"/>
  </r>
  <r>
    <s v="CA-2016-110975"/>
    <x v="683"/>
    <d v="2016-12-30T00:00:00"/>
    <x v="1"/>
    <s v="DB-12970"/>
    <s v="Darren Budd"/>
    <x v="1"/>
    <s v="United States"/>
    <x v="13"/>
    <x v="7"/>
    <x v="2"/>
    <s v="FUR-TA-10002958"/>
    <s v="Furniture"/>
    <x v="2"/>
    <s v="Bevis Oval Conference Table, Walnut"/>
    <n v="313.17599999999999"/>
    <n v="2"/>
    <n v="-120.0508"/>
    <x v="2"/>
    <x v="5"/>
  </r>
  <r>
    <s v="CA-2016-110975"/>
    <x v="683"/>
    <d v="2016-12-30T00:00:00"/>
    <x v="1"/>
    <s v="DB-12970"/>
    <s v="Darren Budd"/>
    <x v="1"/>
    <s v="United States"/>
    <x v="13"/>
    <x v="7"/>
    <x v="2"/>
    <s v="FUR-CH-10003746"/>
    <s v="Furniture"/>
    <x v="1"/>
    <s v="Hon 4070 Series Pagoda Round Back Stacking Chairs"/>
    <n v="866.64599999999996"/>
    <n v="3"/>
    <n v="173.32919999999999"/>
    <x v="2"/>
    <x v="5"/>
  </r>
  <r>
    <s v="CA-2016-110009"/>
    <x v="63"/>
    <d v="2016-09-13T00:00:00"/>
    <x v="1"/>
    <s v="TR-21325"/>
    <s v="Toby Ritter"/>
    <x v="0"/>
    <s v="United States"/>
    <x v="15"/>
    <x v="13"/>
    <x v="1"/>
    <s v="FUR-FU-10003039"/>
    <s v="Furniture"/>
    <x v="3"/>
    <s v="Howard Miller 11-1/2&quot; Diameter Grantwood Wall Clock"/>
    <n v="43.13"/>
    <n v="1"/>
    <n v="14.664199999999999"/>
    <x v="2"/>
    <x v="4"/>
  </r>
  <r>
    <s v="CA-2015-100146"/>
    <x v="760"/>
    <d v="2015-05-19T00:00:00"/>
    <x v="1"/>
    <s v="CB-12535"/>
    <s v="Claudia Bergmann"/>
    <x v="1"/>
    <s v="United States"/>
    <x v="324"/>
    <x v="2"/>
    <x v="1"/>
    <s v="FUR-BO-10004015"/>
    <s v="Furniture"/>
    <x v="0"/>
    <s v="Bush Andora Bookcase, Maple/Graphite Gray Finish"/>
    <n v="509.95749999999998"/>
    <n v="5"/>
    <n v="41.996499999999997"/>
    <x v="2"/>
    <x v="7"/>
  </r>
  <r>
    <s v="CA-2015-100146"/>
    <x v="760"/>
    <d v="2015-05-19T00:00:00"/>
    <x v="1"/>
    <s v="CB-12535"/>
    <s v="Claudia Bergmann"/>
    <x v="1"/>
    <s v="United States"/>
    <x v="324"/>
    <x v="2"/>
    <x v="1"/>
    <s v="FUR-FU-10001979"/>
    <s v="Furniture"/>
    <x v="3"/>
    <s v="Dana Halogen Swing-Arm Architect Lamp"/>
    <n v="122.91"/>
    <n v="3"/>
    <n v="34.4148"/>
    <x v="2"/>
    <x v="7"/>
  </r>
  <r>
    <s v="CA-2015-100146"/>
    <x v="760"/>
    <d v="2015-05-19T00:00:00"/>
    <x v="1"/>
    <s v="CB-12535"/>
    <s v="Claudia Bergmann"/>
    <x v="1"/>
    <s v="United States"/>
    <x v="324"/>
    <x v="2"/>
    <x v="1"/>
    <s v="FUR-CH-10003833"/>
    <s v="Furniture"/>
    <x v="1"/>
    <s v="Novimex Fabric Task Chair"/>
    <n v="97.567999999999998"/>
    <n v="2"/>
    <n v="-6.0979999999999999"/>
    <x v="2"/>
    <x v="7"/>
  </r>
  <r>
    <s v="CA-2015-100146"/>
    <x v="760"/>
    <d v="2015-05-19T00:00:00"/>
    <x v="1"/>
    <s v="CB-12535"/>
    <s v="Claudia Bergmann"/>
    <x v="1"/>
    <s v="United States"/>
    <x v="324"/>
    <x v="2"/>
    <x v="1"/>
    <s v="FUR-CH-10004495"/>
    <s v="Furniture"/>
    <x v="1"/>
    <s v="Global Leather and Oak Executive Chair, Black"/>
    <n v="722.35199999999998"/>
    <n v="3"/>
    <n v="81.264600000000002"/>
    <x v="2"/>
    <x v="7"/>
  </r>
  <r>
    <s v="CA-2016-129728"/>
    <x v="82"/>
    <d v="2016-06-06T00:00:00"/>
    <x v="1"/>
    <s v="JG-15310"/>
    <s v="Jason Gross"/>
    <x v="1"/>
    <s v="United States"/>
    <x v="2"/>
    <x v="2"/>
    <x v="1"/>
    <s v="FUR-FU-10003247"/>
    <s v="Furniture"/>
    <x v="3"/>
    <s v="36X48 HARDFLOOR CHAIRMAT"/>
    <n v="167.84"/>
    <n v="8"/>
    <n v="11.748799999999999"/>
    <x v="1"/>
    <x v="7"/>
  </r>
  <r>
    <s v="CA-2014-121769"/>
    <x v="676"/>
    <d v="2014-04-12T00:00:00"/>
    <x v="1"/>
    <s v="JS-15880"/>
    <s v="John Stevenson"/>
    <x v="0"/>
    <s v="United States"/>
    <x v="219"/>
    <x v="15"/>
    <x v="2"/>
    <s v="FUR-TA-10004442"/>
    <s v="Furniture"/>
    <x v="2"/>
    <s v="Riverside Furniture Stanwyck Manor Table Series"/>
    <n v="172.11"/>
    <n v="1"/>
    <n v="-94.660499999999999"/>
    <x v="4"/>
    <x v="6"/>
  </r>
  <r>
    <s v="CA-2017-121125"/>
    <x v="703"/>
    <d v="2017-06-03T00:00:00"/>
    <x v="1"/>
    <s v="MG-17890"/>
    <s v="Michael Granlund"/>
    <x v="2"/>
    <s v="United States"/>
    <x v="325"/>
    <x v="36"/>
    <x v="1"/>
    <s v="FUR-FU-10000820"/>
    <s v="Furniture"/>
    <x v="3"/>
    <s v="Tensor Brushed Steel Torchiere Floor Lamp"/>
    <n v="13.592000000000001"/>
    <n v="1"/>
    <n v="-0.33979999999999999"/>
    <x v="4"/>
    <x v="7"/>
  </r>
  <r>
    <s v="US-2016-114013"/>
    <x v="345"/>
    <d v="2016-03-15T00:00:00"/>
    <x v="0"/>
    <s v="SC-20770"/>
    <s v="Stewart Carmichael"/>
    <x v="1"/>
    <s v="United States"/>
    <x v="3"/>
    <x v="3"/>
    <x v="2"/>
    <s v="FUR-CH-10004287"/>
    <s v="Furniture"/>
    <x v="1"/>
    <s v="SAFCO Arco Folding Chair"/>
    <n v="386.68"/>
    <n v="2"/>
    <n v="-5.524"/>
    <x v="3"/>
    <x v="9"/>
  </r>
  <r>
    <s v="CA-2017-135069"/>
    <x v="662"/>
    <d v="2017-04-14T00:00:00"/>
    <x v="1"/>
    <s v="BS-11755"/>
    <s v="Bruce Stewart"/>
    <x v="0"/>
    <s v="United States"/>
    <x v="3"/>
    <x v="3"/>
    <x v="2"/>
    <s v="FUR-FU-10003878"/>
    <s v="Furniture"/>
    <x v="3"/>
    <s v="Linden 10&quot; Round Wall Clock, Black"/>
    <n v="36.671999999999997"/>
    <n v="3"/>
    <n v="6.4176000000000002"/>
    <x v="4"/>
    <x v="6"/>
  </r>
  <r>
    <s v="CA-2016-101693"/>
    <x v="324"/>
    <d v="2016-06-27T00:00:00"/>
    <x v="0"/>
    <s v="LC-17140"/>
    <s v="Logan Currie"/>
    <x v="0"/>
    <s v="United States"/>
    <x v="6"/>
    <x v="5"/>
    <x v="3"/>
    <s v="FUR-CH-10001146"/>
    <s v="Furniture"/>
    <x v="1"/>
    <s v="Global Value Mid-Back Manager's Chair, Gray"/>
    <n v="85.245999999999995"/>
    <n v="2"/>
    <n v="-6.0890000000000004"/>
    <x v="3"/>
    <x v="2"/>
  </r>
  <r>
    <s v="CA-2016-101693"/>
    <x v="324"/>
    <d v="2016-06-27T00:00:00"/>
    <x v="0"/>
    <s v="LC-17140"/>
    <s v="Logan Currie"/>
    <x v="0"/>
    <s v="United States"/>
    <x v="6"/>
    <x v="5"/>
    <x v="3"/>
    <s v="FUR-FU-10003919"/>
    <s v="Furniture"/>
    <x v="3"/>
    <s v="Eldon Executive Woodline II Cherry Finish Desk Accessories"/>
    <n v="32.712000000000003"/>
    <n v="2"/>
    <n v="-26.169599999999999"/>
    <x v="3"/>
    <x v="2"/>
  </r>
  <r>
    <s v="CA-2015-145457"/>
    <x v="257"/>
    <d v="2015-03-27T00:00:00"/>
    <x v="0"/>
    <s v="CP-12085"/>
    <s v="Cathy Prescott"/>
    <x v="1"/>
    <s v="United States"/>
    <x v="326"/>
    <x v="13"/>
    <x v="1"/>
    <s v="FUR-FU-10003832"/>
    <s v="Furniture"/>
    <x v="3"/>
    <s v="Eldon Expressions Punched Metal &amp; Wood Desk Accessories, Black &amp; Cherry"/>
    <n v="46.9"/>
    <n v="5"/>
    <n v="13.132"/>
    <x v="0"/>
    <x v="9"/>
  </r>
  <r>
    <s v="US-2017-163657"/>
    <x v="113"/>
    <d v="2017-09-06T00:00:00"/>
    <x v="1"/>
    <s v="JL-15235"/>
    <s v="Janet Lee"/>
    <x v="0"/>
    <s v="United States"/>
    <x v="2"/>
    <x v="2"/>
    <x v="1"/>
    <s v="FUR-TA-10004607"/>
    <s v="Furniture"/>
    <x v="2"/>
    <s v="Hon 2111 Invitation Series Straight Table"/>
    <n v="236.52799999999999"/>
    <n v="2"/>
    <n v="-2.9565999999999999"/>
    <x v="4"/>
    <x v="4"/>
  </r>
  <r>
    <s v="CA-2017-127474"/>
    <x v="761"/>
    <d v="2017-02-07T00:00:00"/>
    <x v="0"/>
    <s v="RD-19810"/>
    <s v="Ross DeVincentis"/>
    <x v="2"/>
    <s v="United States"/>
    <x v="9"/>
    <x v="8"/>
    <x v="3"/>
    <s v="FUR-FU-10004597"/>
    <s v="Furniture"/>
    <x v="3"/>
    <s v="Eldon Cleatmat Chair Mats for Medium Pile Carpets"/>
    <n v="22.2"/>
    <n v="1"/>
    <n v="-26.085000000000001"/>
    <x v="4"/>
    <x v="11"/>
  </r>
  <r>
    <s v="CA-2017-115448"/>
    <x v="762"/>
    <d v="2017-11-14T00:00:00"/>
    <x v="2"/>
    <s v="MH-18025"/>
    <s v="Michelle Huthwaite"/>
    <x v="0"/>
    <s v="United States"/>
    <x v="270"/>
    <x v="9"/>
    <x v="0"/>
    <s v="FUR-FU-10004090"/>
    <s v="Furniture"/>
    <x v="3"/>
    <s v="Executive Impressions 14&quot; Contract Wall Clock"/>
    <n v="88.92"/>
    <n v="5"/>
    <n v="14.4495"/>
    <x v="0"/>
    <x v="0"/>
  </r>
  <r>
    <s v="CA-2017-105669"/>
    <x v="342"/>
    <d v="2017-09-22T00:00:00"/>
    <x v="0"/>
    <s v="SJ-20125"/>
    <s v="Sanjit Jacobs"/>
    <x v="2"/>
    <s v="United States"/>
    <x v="6"/>
    <x v="5"/>
    <x v="3"/>
    <s v="FUR-CH-10003774"/>
    <s v="Furniture"/>
    <x v="1"/>
    <s v="Global Wood Trimmed Manager's Task Chair, Khaki"/>
    <n v="318.43"/>
    <n v="5"/>
    <n v="-77.332999999999998"/>
    <x v="2"/>
    <x v="4"/>
  </r>
  <r>
    <s v="CA-2015-137974"/>
    <x v="763"/>
    <d v="2015-04-18T00:00:00"/>
    <x v="2"/>
    <s v="LL-16840"/>
    <s v="Lauren Leatherbury"/>
    <x v="0"/>
    <s v="United States"/>
    <x v="61"/>
    <x v="25"/>
    <x v="0"/>
    <s v="FUR-FU-10001468"/>
    <s v="Furniture"/>
    <x v="3"/>
    <s v="Tenex Antistatic Computer Chair Mats"/>
    <n v="1196.8599999999999"/>
    <n v="7"/>
    <n v="119.68600000000001"/>
    <x v="3"/>
    <x v="6"/>
  </r>
  <r>
    <s v="CA-2015-137974"/>
    <x v="763"/>
    <d v="2015-04-18T00:00:00"/>
    <x v="2"/>
    <s v="LL-16840"/>
    <s v="Lauren Leatherbury"/>
    <x v="0"/>
    <s v="United States"/>
    <x v="61"/>
    <x v="25"/>
    <x v="0"/>
    <s v="FUR-BO-10001519"/>
    <s v="Furniture"/>
    <x v="0"/>
    <s v="O'Sullivan 3-Shelf Heavy-Duty Bookcases"/>
    <n v="523.26"/>
    <n v="9"/>
    <n v="125.58240000000001"/>
    <x v="3"/>
    <x v="6"/>
  </r>
  <r>
    <s v="CA-2017-148985"/>
    <x v="762"/>
    <d v="2017-11-15T00:00:00"/>
    <x v="0"/>
    <s v="TB-21190"/>
    <s v="Thomas Brumley"/>
    <x v="2"/>
    <s v="United States"/>
    <x v="2"/>
    <x v="2"/>
    <x v="1"/>
    <s v="FUR-FU-10001424"/>
    <s v="Furniture"/>
    <x v="3"/>
    <s v="Dax Clear Box Frame"/>
    <n v="34.92"/>
    <n v="4"/>
    <n v="11.8728"/>
    <x v="4"/>
    <x v="0"/>
  </r>
  <r>
    <s v="CA-2014-138100"/>
    <x v="712"/>
    <d v="2014-09-20T00:00:00"/>
    <x v="1"/>
    <s v="AA-10315"/>
    <s v="Alex Avila"/>
    <x v="0"/>
    <s v="United States"/>
    <x v="13"/>
    <x v="7"/>
    <x v="2"/>
    <s v="FUR-FU-10002456"/>
    <s v="Furniture"/>
    <x v="3"/>
    <s v="Master Caster Door Stop, Large Neon Orange"/>
    <n v="14.56"/>
    <n v="2"/>
    <n v="6.2607999999999997"/>
    <x v="2"/>
    <x v="4"/>
  </r>
  <r>
    <s v="CA-2014-167199"/>
    <x v="764"/>
    <d v="2014-01-10T00:00:00"/>
    <x v="1"/>
    <s v="ME-17320"/>
    <s v="Maria Etezadi"/>
    <x v="2"/>
    <s v="United States"/>
    <x v="0"/>
    <x v="0"/>
    <x v="0"/>
    <s v="FUR-CH-10004063"/>
    <s v="Furniture"/>
    <x v="1"/>
    <s v="Global Deluxe High-Back Manager's Chair"/>
    <n v="2573.8200000000002"/>
    <n v="9"/>
    <n v="746.40779999999995"/>
    <x v="4"/>
    <x v="8"/>
  </r>
  <r>
    <s v="CA-2014-129938"/>
    <x v="256"/>
    <d v="2014-12-17T00:00:00"/>
    <x v="0"/>
    <s v="EB-13705"/>
    <s v="Ed Braxton"/>
    <x v="1"/>
    <s v="United States"/>
    <x v="3"/>
    <x v="3"/>
    <x v="2"/>
    <s v="FUR-CH-10003774"/>
    <s v="Furniture"/>
    <x v="1"/>
    <s v="Global Wood Trimmed Manager's Task Chair, Khaki"/>
    <n v="445.80200000000002"/>
    <n v="7"/>
    <n v="-108.2662"/>
    <x v="3"/>
    <x v="5"/>
  </r>
  <r>
    <s v="US-2015-134558"/>
    <x v="765"/>
    <d v="2015-12-24T00:00:00"/>
    <x v="0"/>
    <s v="PM-19135"/>
    <s v="Peter McVee"/>
    <x v="2"/>
    <s v="United States"/>
    <x v="63"/>
    <x v="28"/>
    <x v="2"/>
    <s v="FUR-TA-10003473"/>
    <s v="Furniture"/>
    <x v="2"/>
    <s v="Bretford Rectangular Conference Table Tops"/>
    <n v="1053.164"/>
    <n v="4"/>
    <n v="-105.3164"/>
    <x v="2"/>
    <x v="5"/>
  </r>
  <r>
    <s v="CA-2015-108672"/>
    <x v="468"/>
    <d v="2015-09-16T00:00:00"/>
    <x v="1"/>
    <s v="FA-14230"/>
    <s v="Frank Atkinson"/>
    <x v="1"/>
    <s v="United States"/>
    <x v="2"/>
    <x v="2"/>
    <x v="1"/>
    <s v="FUR-FU-10003799"/>
    <s v="Furniture"/>
    <x v="3"/>
    <s v="Seth Thomas 13 1/2&quot; Wall Clock"/>
    <n v="106.68"/>
    <n v="6"/>
    <n v="33.070799999999998"/>
    <x v="6"/>
    <x v="4"/>
  </r>
  <r>
    <s v="US-2017-160836"/>
    <x v="91"/>
    <d v="2017-09-16T00:00:00"/>
    <x v="1"/>
    <s v="CC-12475"/>
    <s v="Cindy Chapman"/>
    <x v="0"/>
    <s v="United States"/>
    <x v="6"/>
    <x v="5"/>
    <x v="3"/>
    <s v="FUR-TA-10002855"/>
    <s v="Furniture"/>
    <x v="2"/>
    <s v="Bevis Round Conference Table Top &amp; Single Column Base"/>
    <n v="512.19000000000005"/>
    <n v="5"/>
    <n v="-65.852999999999994"/>
    <x v="2"/>
    <x v="4"/>
  </r>
  <r>
    <s v="CA-2017-121048"/>
    <x v="766"/>
    <d v="2017-07-18T00:00:00"/>
    <x v="1"/>
    <s v="TC-21295"/>
    <s v="Toby Carlisle"/>
    <x v="0"/>
    <s v="United States"/>
    <x v="327"/>
    <x v="2"/>
    <x v="1"/>
    <s v="FUR-FU-10003601"/>
    <s v="Furniture"/>
    <x v="3"/>
    <s v="Deflect-o RollaMat Studded, Beveled Mat for Medium Pile Carpeting"/>
    <n v="276.69"/>
    <n v="3"/>
    <n v="49.804200000000002"/>
    <x v="4"/>
    <x v="3"/>
  </r>
  <r>
    <s v="CA-2017-121048"/>
    <x v="766"/>
    <d v="2017-07-18T00:00:00"/>
    <x v="1"/>
    <s v="TC-21295"/>
    <s v="Toby Carlisle"/>
    <x v="0"/>
    <s v="United States"/>
    <x v="327"/>
    <x v="2"/>
    <x v="1"/>
    <s v="FUR-FU-10002960"/>
    <s v="Furniture"/>
    <x v="3"/>
    <s v="Eldon 200 Class Desk Accessories, Burgundy"/>
    <n v="18.84"/>
    <n v="3"/>
    <n v="7.9127999999999998"/>
    <x v="4"/>
    <x v="3"/>
  </r>
  <r>
    <s v="US-2017-161935"/>
    <x v="766"/>
    <d v="2017-07-18T00:00:00"/>
    <x v="1"/>
    <s v="JL-15835"/>
    <s v="John Lee"/>
    <x v="0"/>
    <s v="United States"/>
    <x v="29"/>
    <x v="15"/>
    <x v="2"/>
    <s v="FUR-FU-10002937"/>
    <s v="Furniture"/>
    <x v="3"/>
    <s v="GE 48&quot; Fluorescent Tube, Cool White Energy Saver, 34 Watts, 30/Box"/>
    <n v="396.92"/>
    <n v="5"/>
    <n v="148.845"/>
    <x v="4"/>
    <x v="3"/>
  </r>
  <r>
    <s v="CA-2016-162383"/>
    <x v="26"/>
    <d v="2016-09-11T00:00:00"/>
    <x v="1"/>
    <s v="MD-17350"/>
    <s v="Maribeth Dona"/>
    <x v="0"/>
    <s v="United States"/>
    <x v="68"/>
    <x v="15"/>
    <x v="2"/>
    <s v="FUR-CH-10004477"/>
    <s v="Furniture"/>
    <x v="1"/>
    <s v="Global Push Button Manager's Chair, Indigo"/>
    <n v="85.245999999999995"/>
    <n v="2"/>
    <n v="-1.2178"/>
    <x v="6"/>
    <x v="4"/>
  </r>
  <r>
    <s v="CA-2014-125731"/>
    <x v="767"/>
    <d v="2014-09-16T00:00:00"/>
    <x v="1"/>
    <s v="CL-12565"/>
    <s v="Clay Ludtke"/>
    <x v="0"/>
    <s v="United States"/>
    <x v="195"/>
    <x v="36"/>
    <x v="1"/>
    <s v="FUR-CH-10003973"/>
    <s v="Furniture"/>
    <x v="1"/>
    <s v="GuestStacker Chair with Chrome Finish Legs"/>
    <n v="1487.04"/>
    <n v="5"/>
    <n v="148.70400000000001"/>
    <x v="6"/>
    <x v="4"/>
  </r>
  <r>
    <s v="US-2017-106145"/>
    <x v="572"/>
    <d v="2017-09-26T00:00:00"/>
    <x v="3"/>
    <s v="RA-19885"/>
    <s v="Ruben Ausman"/>
    <x v="1"/>
    <s v="United States"/>
    <x v="28"/>
    <x v="2"/>
    <x v="1"/>
    <s v="FUR-FU-10003829"/>
    <s v="Furniture"/>
    <x v="3"/>
    <s v="Stackable Trays"/>
    <n v="9.24"/>
    <n v="3"/>
    <n v="2.9567999999999999"/>
    <x v="7"/>
    <x v="4"/>
  </r>
  <r>
    <s v="CA-2016-107146"/>
    <x v="9"/>
    <d v="2016-06-19T00:00:00"/>
    <x v="2"/>
    <s v="LC-16885"/>
    <s v="Lena Creighton"/>
    <x v="0"/>
    <s v="United States"/>
    <x v="328"/>
    <x v="12"/>
    <x v="1"/>
    <s v="FUR-FU-10002298"/>
    <s v="Furniture"/>
    <x v="3"/>
    <s v="Rubbermaid ClusterMat Chairmats, Mat Size- 66&quot; x 60&quot;, Lip 20&quot; x 11&quot; -90 Degree Angle"/>
    <n v="266.35199999999998"/>
    <n v="3"/>
    <n v="-13.317600000000001"/>
    <x v="3"/>
    <x v="2"/>
  </r>
  <r>
    <s v="CA-2016-107146"/>
    <x v="9"/>
    <d v="2016-06-19T00:00:00"/>
    <x v="2"/>
    <s v="LC-16885"/>
    <s v="Lena Creighton"/>
    <x v="0"/>
    <s v="United States"/>
    <x v="328"/>
    <x v="12"/>
    <x v="1"/>
    <s v="FUR-CH-10004853"/>
    <s v="Furniture"/>
    <x v="1"/>
    <s v="Global Manager's Adjustable Task Chair, Storm"/>
    <n v="483.13600000000002"/>
    <n v="4"/>
    <n v="54.352800000000002"/>
    <x v="3"/>
    <x v="2"/>
  </r>
  <r>
    <s v="US-2017-134642"/>
    <x v="768"/>
    <d v="2017-03-01T00:00:00"/>
    <x v="1"/>
    <s v="SW-20245"/>
    <s v="Scot Wooten"/>
    <x v="0"/>
    <s v="United States"/>
    <x v="329"/>
    <x v="30"/>
    <x v="0"/>
    <s v="FUR-CH-10002880"/>
    <s v="Furniture"/>
    <x v="1"/>
    <s v="Global High-Back Leather Tilter, Burgundy"/>
    <n v="196.78399999999999"/>
    <n v="2"/>
    <n v="-22.138200000000001"/>
    <x v="4"/>
    <x v="11"/>
  </r>
  <r>
    <s v="US-2017-134642"/>
    <x v="768"/>
    <d v="2017-03-01T00:00:00"/>
    <x v="1"/>
    <s v="SW-20245"/>
    <s v="Scot Wooten"/>
    <x v="0"/>
    <s v="United States"/>
    <x v="329"/>
    <x v="30"/>
    <x v="0"/>
    <s v="FUR-BO-10004709"/>
    <s v="Furniture"/>
    <x v="0"/>
    <s v="Bush Westfield Collection Bookcases, Medium Cherry Finish"/>
    <n v="231.92"/>
    <n v="5"/>
    <n v="5.798"/>
    <x v="4"/>
    <x v="11"/>
  </r>
  <r>
    <s v="CA-2017-103415"/>
    <x v="587"/>
    <d v="2017-12-08T00:00:00"/>
    <x v="1"/>
    <s v="MV-17485"/>
    <s v="Mark Van Huff"/>
    <x v="0"/>
    <s v="United States"/>
    <x v="6"/>
    <x v="5"/>
    <x v="3"/>
    <s v="FUR-FU-10000820"/>
    <s v="Furniture"/>
    <x v="3"/>
    <s v="Tensor Brushed Steel Torchiere Floor Lamp"/>
    <n v="13.592000000000001"/>
    <n v="2"/>
    <n v="-14.271599999999999"/>
    <x v="2"/>
    <x v="5"/>
  </r>
  <r>
    <s v="US-2017-112347"/>
    <x v="308"/>
    <d v="2017-12-06T00:00:00"/>
    <x v="1"/>
    <s v="BS-11380"/>
    <s v="Bill Stewart"/>
    <x v="1"/>
    <s v="United States"/>
    <x v="22"/>
    <x v="12"/>
    <x v="1"/>
    <s v="FUR-BO-10003546"/>
    <s v="Furniture"/>
    <x v="0"/>
    <s v="Hon 4-Shelf Metal Bookcases"/>
    <n v="242.352"/>
    <n v="8"/>
    <n v="-363.52800000000002"/>
    <x v="4"/>
    <x v="5"/>
  </r>
  <r>
    <s v="US-2017-112347"/>
    <x v="308"/>
    <d v="2017-12-06T00:00:00"/>
    <x v="1"/>
    <s v="BS-11380"/>
    <s v="Bill Stewart"/>
    <x v="1"/>
    <s v="United States"/>
    <x v="22"/>
    <x v="12"/>
    <x v="1"/>
    <s v="FUR-FU-10001488"/>
    <s v="Furniture"/>
    <x v="3"/>
    <s v="Tenex 46&quot; x 60&quot; Computer Anti-Static Chairmat, Rectangular Shaped"/>
    <n v="508.70400000000001"/>
    <n v="6"/>
    <n v="0"/>
    <x v="4"/>
    <x v="5"/>
  </r>
  <r>
    <s v="US-2017-112347"/>
    <x v="308"/>
    <d v="2017-12-06T00:00:00"/>
    <x v="1"/>
    <s v="BS-11380"/>
    <s v="Bill Stewart"/>
    <x v="1"/>
    <s v="United States"/>
    <x v="22"/>
    <x v="12"/>
    <x v="1"/>
    <s v="FUR-CH-10002335"/>
    <s v="Furniture"/>
    <x v="1"/>
    <s v="Hon GuestStacker Chair"/>
    <n v="906.68"/>
    <n v="5"/>
    <n v="68.001000000000005"/>
    <x v="4"/>
    <x v="5"/>
  </r>
  <r>
    <s v="CA-2016-136595"/>
    <x v="26"/>
    <d v="2016-09-07T00:00:00"/>
    <x v="2"/>
    <s v="EM-13825"/>
    <s v="Elizabeth Moffitt"/>
    <x v="1"/>
    <s v="United States"/>
    <x v="6"/>
    <x v="5"/>
    <x v="3"/>
    <s v="FUR-FU-10004671"/>
    <s v="Furniture"/>
    <x v="3"/>
    <s v="Executive Impressions 12&quot; Wall Clock"/>
    <n v="21.204000000000001"/>
    <n v="3"/>
    <n v="-11.6622"/>
    <x v="3"/>
    <x v="4"/>
  </r>
  <r>
    <s v="CA-2014-114181"/>
    <x v="769"/>
    <d v="2014-05-14T00:00:00"/>
    <x v="0"/>
    <s v="AF-10885"/>
    <s v="Art Foster"/>
    <x v="0"/>
    <s v="United States"/>
    <x v="3"/>
    <x v="3"/>
    <x v="2"/>
    <s v="FUR-BO-10004467"/>
    <s v="Furniture"/>
    <x v="0"/>
    <s v="Bestar Classic Bookcase"/>
    <n v="349.96499999999997"/>
    <n v="7"/>
    <n v="-216.97829999999999"/>
    <x v="4"/>
    <x v="7"/>
  </r>
  <r>
    <s v="US-2014-137155"/>
    <x v="770"/>
    <d v="2014-11-05T00:00:00"/>
    <x v="1"/>
    <s v="DL-12925"/>
    <s v="Daniel Lacy"/>
    <x v="0"/>
    <s v="United States"/>
    <x v="62"/>
    <x v="7"/>
    <x v="2"/>
    <s v="FUR-FU-10003142"/>
    <s v="Furniture"/>
    <x v="3"/>
    <s v="Master Big Foot Doorstop, Beige"/>
    <n v="31.68"/>
    <n v="6"/>
    <n v="9.8208000000000002"/>
    <x v="4"/>
    <x v="0"/>
  </r>
  <r>
    <s v="CA-2016-105746"/>
    <x v="771"/>
    <d v="2017-01-01T00:00:00"/>
    <x v="2"/>
    <s v="BD-11605"/>
    <s v="Brian Dahlen"/>
    <x v="0"/>
    <s v="United States"/>
    <x v="68"/>
    <x v="3"/>
    <x v="2"/>
    <s v="FUR-CH-10000454"/>
    <s v="Furniture"/>
    <x v="1"/>
    <s v="Hon Deluxe Fabric Upholstered Stacking Chairs, Rounded Back"/>
    <n v="170.786"/>
    <n v="1"/>
    <n v="0"/>
    <x v="3"/>
    <x v="5"/>
  </r>
  <r>
    <s v="US-2016-104815"/>
    <x v="222"/>
    <d v="2016-09-07T00:00:00"/>
    <x v="1"/>
    <s v="RB-19570"/>
    <s v="Rob Beeghly"/>
    <x v="0"/>
    <s v="United States"/>
    <x v="9"/>
    <x v="8"/>
    <x v="3"/>
    <s v="FUR-BO-10003894"/>
    <s v="Furniture"/>
    <x v="0"/>
    <s v="Safco Value Mate Steel Bookcase, Baked Enamel Finish on Steel, Black"/>
    <n v="198.744"/>
    <n v="4"/>
    <n v="0"/>
    <x v="4"/>
    <x v="4"/>
  </r>
  <r>
    <s v="US-2016-166660"/>
    <x v="772"/>
    <d v="2016-02-01T00:00:00"/>
    <x v="0"/>
    <s v="TB-21250"/>
    <s v="Tim Brockman"/>
    <x v="0"/>
    <s v="United States"/>
    <x v="15"/>
    <x v="13"/>
    <x v="1"/>
    <s v="FUR-CH-10001190"/>
    <s v="Furniture"/>
    <x v="1"/>
    <s v="Global Deluxe High-Back Office Chair in Storm"/>
    <n v="435.16800000000001"/>
    <n v="4"/>
    <n v="-59.835599999999999"/>
    <x v="3"/>
    <x v="8"/>
  </r>
  <r>
    <s v="US-2016-166660"/>
    <x v="772"/>
    <d v="2016-02-01T00:00:00"/>
    <x v="0"/>
    <s v="TB-21250"/>
    <s v="Tim Brockman"/>
    <x v="0"/>
    <s v="United States"/>
    <x v="15"/>
    <x v="13"/>
    <x v="1"/>
    <s v="FUR-BO-10000468"/>
    <s v="Furniture"/>
    <x v="0"/>
    <s v="O'Sullivan 2-Shelf Heavy-Duty Bookcases"/>
    <n v="48.58"/>
    <n v="1"/>
    <n v="7.7728000000000002"/>
    <x v="3"/>
    <x v="8"/>
  </r>
  <r>
    <s v="CA-2014-100916"/>
    <x v="299"/>
    <d v="2014-10-26T00:00:00"/>
    <x v="1"/>
    <s v="FH-14275"/>
    <s v="Frank Hawley"/>
    <x v="1"/>
    <s v="United States"/>
    <x v="330"/>
    <x v="25"/>
    <x v="0"/>
    <s v="FUR-TA-10004607"/>
    <s v="Furniture"/>
    <x v="2"/>
    <s v="Hon 2111 Invitation Series Straight Table"/>
    <n v="591.32000000000005"/>
    <n v="4"/>
    <n v="112.35080000000001"/>
    <x v="2"/>
    <x v="1"/>
  </r>
  <r>
    <s v="CA-2016-138597"/>
    <x v="105"/>
    <d v="2016-12-21T00:00:00"/>
    <x v="2"/>
    <s v="PN-18775"/>
    <s v="Parhena Norris"/>
    <x v="2"/>
    <s v="United States"/>
    <x v="70"/>
    <x v="27"/>
    <x v="3"/>
    <s v="FUR-CH-10004997"/>
    <s v="Furniture"/>
    <x v="1"/>
    <s v="Hon Every-Day Series Multi-Task Chairs"/>
    <n v="563.94000000000005"/>
    <n v="3"/>
    <n v="112.788"/>
    <x v="0"/>
    <x v="5"/>
  </r>
  <r>
    <s v="CA-2015-142734"/>
    <x v="763"/>
    <d v="2015-04-21T00:00:00"/>
    <x v="1"/>
    <s v="DM-13345"/>
    <s v="Denise Monton"/>
    <x v="1"/>
    <s v="United States"/>
    <x v="13"/>
    <x v="7"/>
    <x v="2"/>
    <s v="FUR-CH-10003968"/>
    <s v="Furniture"/>
    <x v="1"/>
    <s v="Novimex Turbo Task Chair"/>
    <n v="127.764"/>
    <n v="2"/>
    <n v="2.8391999999999999"/>
    <x v="2"/>
    <x v="6"/>
  </r>
  <r>
    <s v="CA-2017-122945"/>
    <x v="716"/>
    <d v="2017-11-22T00:00:00"/>
    <x v="1"/>
    <s v="MB-18085"/>
    <s v="Mick Brown"/>
    <x v="0"/>
    <s v="United States"/>
    <x v="18"/>
    <x v="2"/>
    <x v="1"/>
    <s v="FUR-FU-10001196"/>
    <s v="Furniture"/>
    <x v="3"/>
    <s v="DAX Cubicle Frames - 8x10"/>
    <n v="17.309999999999999"/>
    <n v="3"/>
    <n v="5.1929999999999996"/>
    <x v="6"/>
    <x v="0"/>
  </r>
  <r>
    <s v="CA-2016-158778"/>
    <x v="26"/>
    <d v="2016-09-09T00:00:00"/>
    <x v="1"/>
    <s v="DB-13210"/>
    <s v="Dean Braden"/>
    <x v="0"/>
    <s v="United States"/>
    <x v="3"/>
    <x v="3"/>
    <x v="2"/>
    <s v="FUR-FU-10000260"/>
    <s v="Furniture"/>
    <x v="3"/>
    <s v="6&quot; Cubicle Wall Clock, Black"/>
    <n v="58.247999999999998"/>
    <n v="9"/>
    <n v="11.6496"/>
    <x v="4"/>
    <x v="4"/>
  </r>
  <r>
    <s v="CA-2016-158778"/>
    <x v="26"/>
    <d v="2016-09-09T00:00:00"/>
    <x v="1"/>
    <s v="DB-13210"/>
    <s v="Dean Braden"/>
    <x v="0"/>
    <s v="United States"/>
    <x v="3"/>
    <x v="3"/>
    <x v="2"/>
    <s v="FUR-CH-10001146"/>
    <s v="Furniture"/>
    <x v="1"/>
    <s v="Global Task Chair, Black"/>
    <n v="71.245999999999995"/>
    <n v="2"/>
    <n v="-19.338200000000001"/>
    <x v="4"/>
    <x v="4"/>
  </r>
  <r>
    <s v="CA-2016-158778"/>
    <x v="26"/>
    <d v="2016-09-09T00:00:00"/>
    <x v="1"/>
    <s v="DB-13210"/>
    <s v="Dean Braden"/>
    <x v="0"/>
    <s v="United States"/>
    <x v="3"/>
    <x v="3"/>
    <x v="2"/>
    <s v="FUR-CH-10000309"/>
    <s v="Furniture"/>
    <x v="1"/>
    <s v="Global Comet Stacking Arm Chair"/>
    <n v="887.27099999999996"/>
    <n v="3"/>
    <n v="-63.3765"/>
    <x v="4"/>
    <x v="4"/>
  </r>
  <r>
    <s v="CA-2016-101791"/>
    <x v="614"/>
    <d v="2016-05-31T00:00:00"/>
    <x v="1"/>
    <s v="BS-11665"/>
    <s v="Brian Stugart"/>
    <x v="0"/>
    <s v="United States"/>
    <x v="9"/>
    <x v="8"/>
    <x v="3"/>
    <s v="FUR-FU-10003247"/>
    <s v="Furniture"/>
    <x v="3"/>
    <s v="36X48 HARDFLOOR CHAIRMAT"/>
    <n v="25.175999999999998"/>
    <n v="3"/>
    <n v="-33.358199999999997"/>
    <x v="4"/>
    <x v="7"/>
  </r>
  <r>
    <s v="CA-2016-101791"/>
    <x v="614"/>
    <d v="2016-05-31T00:00:00"/>
    <x v="1"/>
    <s v="BS-11665"/>
    <s v="Brian Stugart"/>
    <x v="0"/>
    <s v="United States"/>
    <x v="9"/>
    <x v="8"/>
    <x v="3"/>
    <s v="FUR-FU-10002191"/>
    <s v="Furniture"/>
    <x v="3"/>
    <s v="G.E. Halogen Desk Lamp Bulbs"/>
    <n v="5.5839999999999996"/>
    <n v="2"/>
    <n v="-1.6752"/>
    <x v="4"/>
    <x v="7"/>
  </r>
  <r>
    <s v="CA-2015-113740"/>
    <x v="108"/>
    <d v="2015-08-28T00:00:00"/>
    <x v="0"/>
    <s v="SC-20380"/>
    <s v="Shahid Collister"/>
    <x v="0"/>
    <s v="United States"/>
    <x v="13"/>
    <x v="7"/>
    <x v="2"/>
    <s v="FUR-FU-10000010"/>
    <s v="Furniture"/>
    <x v="3"/>
    <s v="DAX Value U-Channel Document Frames, Easel Back"/>
    <n v="14.91"/>
    <n v="3"/>
    <n v="4.6220999999999997"/>
    <x v="4"/>
    <x v="10"/>
  </r>
  <r>
    <s v="CA-2017-151225"/>
    <x v="526"/>
    <d v="2017-10-29T00:00:00"/>
    <x v="2"/>
    <s v="JM-15655"/>
    <s v="Jim Mitchum"/>
    <x v="1"/>
    <s v="United States"/>
    <x v="2"/>
    <x v="2"/>
    <x v="1"/>
    <s v="FUR-TA-10001539"/>
    <s v="Furniture"/>
    <x v="2"/>
    <s v="Chromcraft Rectangular Conference Tables"/>
    <n v="189.57599999999999"/>
    <n v="1"/>
    <n v="9.4787999999999997"/>
    <x v="3"/>
    <x v="1"/>
  </r>
  <r>
    <s v="US-2014-144078"/>
    <x v="306"/>
    <d v="2014-11-29T00:00:00"/>
    <x v="1"/>
    <s v="RB-19435"/>
    <s v="Richard Bierner"/>
    <x v="0"/>
    <s v="United States"/>
    <x v="2"/>
    <x v="2"/>
    <x v="1"/>
    <s v="FUR-CH-10002335"/>
    <s v="Furniture"/>
    <x v="1"/>
    <s v="Hon GuestStacker Chair"/>
    <n v="725.34400000000005"/>
    <n v="4"/>
    <n v="54.400799999999997"/>
    <x v="4"/>
    <x v="0"/>
  </r>
  <r>
    <s v="CA-2015-136805"/>
    <x v="773"/>
    <d v="2015-05-27T00:00:00"/>
    <x v="0"/>
    <s v="NM-18445"/>
    <s v="Nathan Mautz"/>
    <x v="2"/>
    <s v="United States"/>
    <x v="25"/>
    <x v="17"/>
    <x v="3"/>
    <s v="FUR-FU-10003724"/>
    <s v="Furniture"/>
    <x v="3"/>
    <s v="Westinghouse Clip-On Gooseneck Lamps"/>
    <n v="75.33"/>
    <n v="9"/>
    <n v="19.585799999999999"/>
    <x v="4"/>
    <x v="7"/>
  </r>
  <r>
    <s v="CA-2014-162089"/>
    <x v="693"/>
    <d v="2014-04-01T00:00:00"/>
    <x v="2"/>
    <s v="MP-17470"/>
    <s v="Mark Packer"/>
    <x v="2"/>
    <s v="United States"/>
    <x v="193"/>
    <x v="5"/>
    <x v="3"/>
    <s v="FUR-CH-10002304"/>
    <s v="Furniture"/>
    <x v="1"/>
    <s v="Global Stack Chair without Arms, Black"/>
    <n v="127.30200000000001"/>
    <n v="7"/>
    <n v="-9.093"/>
    <x v="3"/>
    <x v="9"/>
  </r>
  <r>
    <s v="US-2017-158526"/>
    <x v="297"/>
    <d v="2018-01-01T00:00:00"/>
    <x v="0"/>
    <s v="KH-16360"/>
    <s v="Katherine Hughes"/>
    <x v="0"/>
    <s v="United States"/>
    <x v="74"/>
    <x v="0"/>
    <x v="0"/>
    <s v="FUR-CH-10002602"/>
    <s v="Furniture"/>
    <x v="1"/>
    <s v="DMI Arturo Collection Mission-style Design Wood Chair"/>
    <n v="1207.8399999999999"/>
    <n v="8"/>
    <n v="314.03840000000002"/>
    <x v="0"/>
    <x v="5"/>
  </r>
  <r>
    <s v="US-2017-158526"/>
    <x v="297"/>
    <d v="2018-01-01T00:00:00"/>
    <x v="0"/>
    <s v="KH-16360"/>
    <s v="Katherine Hughes"/>
    <x v="0"/>
    <s v="United States"/>
    <x v="74"/>
    <x v="0"/>
    <x v="0"/>
    <s v="FUR-CH-10004495"/>
    <s v="Furniture"/>
    <x v="1"/>
    <s v="Global Leather and Oak Executive Chair, Black"/>
    <n v="300.98"/>
    <n v="1"/>
    <n v="87.284199999999998"/>
    <x v="0"/>
    <x v="5"/>
  </r>
  <r>
    <s v="US-2017-158526"/>
    <x v="297"/>
    <d v="2018-01-01T00:00:00"/>
    <x v="0"/>
    <s v="KH-16360"/>
    <s v="Katherine Hughes"/>
    <x v="0"/>
    <s v="United States"/>
    <x v="74"/>
    <x v="0"/>
    <x v="0"/>
    <s v="FUR-CH-10001270"/>
    <s v="Furniture"/>
    <x v="1"/>
    <s v="Harbour Creations Steel Folding Chair"/>
    <n v="258.75"/>
    <n v="3"/>
    <n v="77.625"/>
    <x v="0"/>
    <x v="5"/>
  </r>
  <r>
    <s v="CA-2017-104885"/>
    <x v="774"/>
    <d v="2017-03-08T00:00:00"/>
    <x v="1"/>
    <s v="DB-13555"/>
    <s v="Dorothy Badders"/>
    <x v="1"/>
    <s v="United States"/>
    <x v="19"/>
    <x v="14"/>
    <x v="2"/>
    <s v="FUR-BO-10003660"/>
    <s v="Furniture"/>
    <x v="0"/>
    <s v="Bush Cubix Collection Bookcases, Fully Assembled"/>
    <n v="441.96"/>
    <n v="2"/>
    <n v="101.6508"/>
    <x v="6"/>
    <x v="9"/>
  </r>
  <r>
    <s v="CA-2015-161452"/>
    <x v="509"/>
    <d v="2015-04-11T00:00:00"/>
    <x v="1"/>
    <s v="CA-11965"/>
    <s v="Carol Adams"/>
    <x v="1"/>
    <s v="United States"/>
    <x v="2"/>
    <x v="2"/>
    <x v="1"/>
    <s v="FUR-CH-10003973"/>
    <s v="Furniture"/>
    <x v="1"/>
    <s v="GuestStacker Chair with Chrome Finish Legs"/>
    <n v="892.22400000000005"/>
    <n v="3"/>
    <n v="89.222399999999993"/>
    <x v="6"/>
    <x v="6"/>
  </r>
  <r>
    <s v="CA-2016-138968"/>
    <x v="775"/>
    <d v="2016-03-16T00:00:00"/>
    <x v="2"/>
    <s v="FC-14335"/>
    <s v="Fred Chung"/>
    <x v="1"/>
    <s v="United States"/>
    <x v="28"/>
    <x v="2"/>
    <x v="1"/>
    <s v="FUR-CH-10000309"/>
    <s v="Furniture"/>
    <x v="1"/>
    <s v="Global Comet Stacking Arm Chair"/>
    <n v="1352.0319999999999"/>
    <n v="4"/>
    <n v="84.501999999999995"/>
    <x v="5"/>
    <x v="9"/>
  </r>
  <r>
    <s v="CA-2015-101889"/>
    <x v="7"/>
    <d v="2015-12-31T00:00:00"/>
    <x v="1"/>
    <s v="DB-13120"/>
    <s v="David Bremer"/>
    <x v="1"/>
    <s v="United States"/>
    <x v="149"/>
    <x v="15"/>
    <x v="2"/>
    <s v="FUR-TA-10004154"/>
    <s v="Furniture"/>
    <x v="2"/>
    <s v="Riverside Furniture Oval Coffee Table, Oval End Table, End Table with Drawer"/>
    <n v="1548.99"/>
    <n v="9"/>
    <n v="-464.697"/>
    <x v="4"/>
    <x v="5"/>
  </r>
  <r>
    <s v="CA-2015-107685"/>
    <x v="737"/>
    <d v="2015-12-02T00:00:00"/>
    <x v="0"/>
    <s v="JM-15865"/>
    <s v="John Murray"/>
    <x v="0"/>
    <s v="United States"/>
    <x v="205"/>
    <x v="34"/>
    <x v="1"/>
    <s v="FUR-FU-10002813"/>
    <s v="Furniture"/>
    <x v="3"/>
    <s v="DAX Contemporary Wood Frame with Silver Metal Mat, Desktop, 11 x 14 Size"/>
    <n v="80.959999999999994"/>
    <n v="4"/>
    <n v="29.145600000000002"/>
    <x v="3"/>
    <x v="0"/>
  </r>
  <r>
    <s v="US-2014-120740"/>
    <x v="776"/>
    <d v="2014-04-15T00:00:00"/>
    <x v="3"/>
    <s v="PS-18970"/>
    <s v="Paul Stevenson"/>
    <x v="2"/>
    <s v="United States"/>
    <x v="2"/>
    <x v="2"/>
    <x v="1"/>
    <s v="FUR-FU-10004091"/>
    <s v="Furniture"/>
    <x v="3"/>
    <s v="Howard Miller 13&quot; Diameter Goldtone Round Wall Clock"/>
    <n v="187.76"/>
    <n v="4"/>
    <n v="76.9816"/>
    <x v="7"/>
    <x v="6"/>
  </r>
  <r>
    <s v="CA-2014-105417"/>
    <x v="777"/>
    <d v="2014-01-12T00:00:00"/>
    <x v="1"/>
    <s v="VS-21820"/>
    <s v="Vivek Sundaresam"/>
    <x v="0"/>
    <s v="United States"/>
    <x v="156"/>
    <x v="5"/>
    <x v="3"/>
    <s v="FUR-FU-10004864"/>
    <s v="Furniture"/>
    <x v="3"/>
    <s v="Howard Miller 14-1/2&quot; Diameter Chrome Round Wall Clock"/>
    <n v="76.727999999999994"/>
    <n v="3"/>
    <n v="-53.709600000000002"/>
    <x v="2"/>
    <x v="8"/>
  </r>
  <r>
    <s v="CA-2014-151967"/>
    <x v="27"/>
    <d v="2014-10-26T00:00:00"/>
    <x v="1"/>
    <s v="NB-18580"/>
    <s v="Nicole Brennan"/>
    <x v="1"/>
    <s v="United States"/>
    <x v="331"/>
    <x v="35"/>
    <x v="0"/>
    <s v="FUR-FU-10000193"/>
    <s v="Furniture"/>
    <x v="3"/>
    <s v="Tenex Chairmats For Use with Hard Floors"/>
    <n v="129.91999999999999"/>
    <n v="4"/>
    <n v="10.393599999999999"/>
    <x v="4"/>
    <x v="1"/>
  </r>
  <r>
    <s v="CA-2015-130974"/>
    <x v="61"/>
    <d v="2015-11-29T00:00:00"/>
    <x v="0"/>
    <s v="MA-17560"/>
    <s v="Matt Abelman"/>
    <x v="2"/>
    <s v="United States"/>
    <x v="114"/>
    <x v="20"/>
    <x v="2"/>
    <s v="FUR-BO-10002916"/>
    <s v="Furniture"/>
    <x v="0"/>
    <s v="Rush Hierlooms Collection 1&quot; Thick Stackable Bookcases"/>
    <n v="170.98"/>
    <n v="1"/>
    <n v="32.486199999999997"/>
    <x v="3"/>
    <x v="0"/>
  </r>
  <r>
    <s v="CA-2015-130974"/>
    <x v="61"/>
    <d v="2015-11-29T00:00:00"/>
    <x v="0"/>
    <s v="MA-17560"/>
    <s v="Matt Abelman"/>
    <x v="2"/>
    <s v="United States"/>
    <x v="114"/>
    <x v="20"/>
    <x v="2"/>
    <s v="FUR-FU-10002506"/>
    <s v="Furniture"/>
    <x v="3"/>
    <s v="Tensor &quot;Hersey Kiss&quot; Styled Floor Lamp"/>
    <n v="38.97"/>
    <n v="3"/>
    <n v="4.6764000000000001"/>
    <x v="3"/>
    <x v="0"/>
  </r>
  <r>
    <s v="CA-2015-130974"/>
    <x v="61"/>
    <d v="2015-11-29T00:00:00"/>
    <x v="0"/>
    <s v="MA-17560"/>
    <s v="Matt Abelman"/>
    <x v="2"/>
    <s v="United States"/>
    <x v="114"/>
    <x v="20"/>
    <x v="2"/>
    <s v="FUR-TA-10004619"/>
    <s v="Furniture"/>
    <x v="2"/>
    <s v="Hon Non-Folding Utility Tables"/>
    <n v="446.06799999999998"/>
    <n v="4"/>
    <n v="0"/>
    <x v="3"/>
    <x v="0"/>
  </r>
  <r>
    <s v="CA-2014-133592"/>
    <x v="252"/>
    <d v="2015-01-07T00:00:00"/>
    <x v="1"/>
    <s v="KM-16375"/>
    <s v="Katherine Murray"/>
    <x v="2"/>
    <s v="United States"/>
    <x v="134"/>
    <x v="38"/>
    <x v="2"/>
    <s v="FUR-BO-10000362"/>
    <s v="Furniture"/>
    <x v="0"/>
    <s v="Sauder Inglewood Library Bookcases"/>
    <n v="341.96"/>
    <n v="2"/>
    <n v="78.650800000000004"/>
    <x v="1"/>
    <x v="5"/>
  </r>
  <r>
    <s v="CA-2014-133592"/>
    <x v="252"/>
    <d v="2015-01-07T00:00:00"/>
    <x v="1"/>
    <s v="KM-16375"/>
    <s v="Katherine Murray"/>
    <x v="2"/>
    <s v="United States"/>
    <x v="134"/>
    <x v="38"/>
    <x v="2"/>
    <s v="FUR-CH-10004218"/>
    <s v="Furniture"/>
    <x v="1"/>
    <s v="Global Fabric Manager's Chair, Dark Gray"/>
    <n v="605.88"/>
    <n v="6"/>
    <n v="151.47"/>
    <x v="1"/>
    <x v="5"/>
  </r>
  <r>
    <s v="CA-2016-169838"/>
    <x v="778"/>
    <d v="2016-11-29T00:00:00"/>
    <x v="1"/>
    <s v="BB-11545"/>
    <s v="Brenda Bowman"/>
    <x v="1"/>
    <s v="United States"/>
    <x v="38"/>
    <x v="17"/>
    <x v="3"/>
    <s v="FUR-TA-10001095"/>
    <s v="Furniture"/>
    <x v="2"/>
    <s v="Chromcraft Round Conference Tables"/>
    <n v="1568.61"/>
    <n v="9"/>
    <n v="329.40809999999999"/>
    <x v="4"/>
    <x v="0"/>
  </r>
  <r>
    <s v="US-2017-128951"/>
    <x v="316"/>
    <d v="2017-07-17T00:00:00"/>
    <x v="2"/>
    <s v="RS-19420"/>
    <s v="Ricardo Sperren"/>
    <x v="1"/>
    <s v="United States"/>
    <x v="122"/>
    <x v="25"/>
    <x v="0"/>
    <s v="FUR-TA-10004575"/>
    <s v="Furniture"/>
    <x v="2"/>
    <s v="Hon 5100 Series Wood Tables"/>
    <n v="872.94"/>
    <n v="3"/>
    <n v="157.1292"/>
    <x v="3"/>
    <x v="3"/>
  </r>
  <r>
    <s v="CA-2016-118899"/>
    <x v="779"/>
    <d v="2016-03-22T00:00:00"/>
    <x v="3"/>
    <s v="MC-17275"/>
    <s v="Marc Crier"/>
    <x v="0"/>
    <s v="United States"/>
    <x v="15"/>
    <x v="13"/>
    <x v="1"/>
    <s v="FUR-CH-10004754"/>
    <s v="Furniture"/>
    <x v="1"/>
    <s v="Global Stack Chair with Arms, Black"/>
    <n v="167.88800000000001"/>
    <n v="7"/>
    <n v="14.690200000000001"/>
    <x v="7"/>
    <x v="9"/>
  </r>
  <r>
    <s v="CA-2017-151799"/>
    <x v="417"/>
    <d v="2017-12-18T00:00:00"/>
    <x v="1"/>
    <s v="BF-11170"/>
    <s v="Ben Ferrer"/>
    <x v="2"/>
    <s v="United States"/>
    <x v="37"/>
    <x v="20"/>
    <x v="2"/>
    <s v="FUR-TA-10003473"/>
    <s v="Furniture"/>
    <x v="2"/>
    <s v="Bretford Rectangular Conference Table Tops"/>
    <n v="526.58199999999999"/>
    <n v="2"/>
    <n v="-52.658200000000001"/>
    <x v="4"/>
    <x v="5"/>
  </r>
  <r>
    <s v="CA-2016-114601"/>
    <x v="238"/>
    <d v="2016-09-02T00:00:00"/>
    <x v="1"/>
    <s v="AA-10480"/>
    <s v="Andrew Allen"/>
    <x v="0"/>
    <s v="United States"/>
    <x v="25"/>
    <x v="17"/>
    <x v="3"/>
    <s v="FUR-TA-10004147"/>
    <s v="Furniture"/>
    <x v="2"/>
    <s v="Hon 4060 Series Tables"/>
    <n v="447.84"/>
    <n v="4"/>
    <n v="98.524799999999999"/>
    <x v="1"/>
    <x v="10"/>
  </r>
  <r>
    <s v="CA-2017-139353"/>
    <x v="780"/>
    <d v="2017-10-30T00:00:00"/>
    <x v="0"/>
    <s v="JM-15250"/>
    <s v="Janet Martin"/>
    <x v="0"/>
    <s v="United States"/>
    <x v="160"/>
    <x v="30"/>
    <x v="0"/>
    <s v="FUR-FU-10001876"/>
    <s v="Furniture"/>
    <x v="3"/>
    <s v="Computer Room Manger, 14&quot;"/>
    <n v="77.951999999999998"/>
    <n v="3"/>
    <n v="15.590400000000001"/>
    <x v="3"/>
    <x v="1"/>
  </r>
  <r>
    <s v="CA-2015-139374"/>
    <x v="468"/>
    <d v="2015-09-14T00:00:00"/>
    <x v="1"/>
    <s v="AR-10345"/>
    <s v="Alex Russell"/>
    <x v="1"/>
    <s v="United States"/>
    <x v="198"/>
    <x v="5"/>
    <x v="3"/>
    <s v="FUR-CH-10003981"/>
    <s v="Furniture"/>
    <x v="1"/>
    <s v="Global Commerce Series Low-Back Swivel/Tilt Chairs"/>
    <n v="179.886"/>
    <n v="1"/>
    <n v="-2.5697999999999999"/>
    <x v="4"/>
    <x v="4"/>
  </r>
  <r>
    <s v="CA-2017-104850"/>
    <x v="234"/>
    <d v="2017-06-19T00:00:00"/>
    <x v="1"/>
    <s v="TW-21025"/>
    <s v="Tamara Willingham"/>
    <x v="2"/>
    <s v="United States"/>
    <x v="15"/>
    <x v="13"/>
    <x v="1"/>
    <s v="FUR-CH-10003774"/>
    <s v="Furniture"/>
    <x v="1"/>
    <s v="Global Wood Trimmed Manager's Task Chair, Khaki"/>
    <n v="291.13600000000002"/>
    <n v="4"/>
    <n v="-25.474399999999999"/>
    <x v="6"/>
    <x v="2"/>
  </r>
  <r>
    <s v="CA-2015-133242"/>
    <x v="311"/>
    <d v="2015-06-24T00:00:00"/>
    <x v="1"/>
    <s v="KH-16510"/>
    <s v="Keith Herrera"/>
    <x v="0"/>
    <s v="United States"/>
    <x v="58"/>
    <x v="25"/>
    <x v="0"/>
    <s v="FUR-FU-10003464"/>
    <s v="Furniture"/>
    <x v="3"/>
    <s v="Seth Thomas 8 1/2&quot; Cubicle Clock"/>
    <n v="60.84"/>
    <n v="3"/>
    <n v="19.468800000000002"/>
    <x v="6"/>
    <x v="2"/>
  </r>
  <r>
    <s v="CA-2015-158323"/>
    <x v="737"/>
    <d v="2015-12-03T00:00:00"/>
    <x v="2"/>
    <s v="AB-10600"/>
    <s v="Ann Blume"/>
    <x v="1"/>
    <s v="United States"/>
    <x v="51"/>
    <x v="30"/>
    <x v="0"/>
    <s v="FUR-FU-10001546"/>
    <s v="Furniture"/>
    <x v="3"/>
    <s v="Dana Swing-Arm Lamps"/>
    <n v="17.088000000000001"/>
    <n v="2"/>
    <n v="1.0680000000000001"/>
    <x v="0"/>
    <x v="0"/>
  </r>
  <r>
    <s v="CA-2017-112844"/>
    <x v="596"/>
    <d v="2017-11-16T00:00:00"/>
    <x v="0"/>
    <s v="SP-20620"/>
    <s v="Stefania Perrino"/>
    <x v="1"/>
    <s v="United States"/>
    <x v="252"/>
    <x v="7"/>
    <x v="2"/>
    <s v="FUR-FU-10004845"/>
    <s v="Furniture"/>
    <x v="3"/>
    <s v="Deflect-o EconoMat Nonstudded, No Bevel Mat"/>
    <n v="154.94999999999999"/>
    <n v="3"/>
    <n v="30.99"/>
    <x v="0"/>
    <x v="0"/>
  </r>
  <r>
    <s v="US-2017-118941"/>
    <x v="661"/>
    <d v="2017-08-12T00:00:00"/>
    <x v="3"/>
    <s v="BB-11545"/>
    <s v="Brenda Bowman"/>
    <x v="1"/>
    <s v="United States"/>
    <x v="11"/>
    <x v="32"/>
    <x v="2"/>
    <s v="FUR-CH-10002331"/>
    <s v="Furniture"/>
    <x v="1"/>
    <s v="Hon 4700 Series Mobuis Mid-Back Task Chairs with Adjustable Arms"/>
    <n v="1779.9"/>
    <n v="5"/>
    <n v="373.779"/>
    <x v="7"/>
    <x v="10"/>
  </r>
  <r>
    <s v="CA-2016-162236"/>
    <x v="114"/>
    <d v="2016-11-06T00:00:00"/>
    <x v="0"/>
    <s v="ER-13855"/>
    <s v="Elpida Rittenbach"/>
    <x v="1"/>
    <s v="United States"/>
    <x v="127"/>
    <x v="30"/>
    <x v="0"/>
    <s v="FUR-TA-10002533"/>
    <s v="Furniture"/>
    <x v="2"/>
    <s v="BPI Conference Tables"/>
    <n v="876.3"/>
    <n v="10"/>
    <n v="-292.10000000000002"/>
    <x v="3"/>
    <x v="0"/>
  </r>
  <r>
    <s v="US-2016-117037"/>
    <x v="586"/>
    <d v="2016-05-20T00:00:00"/>
    <x v="2"/>
    <s v="LW-17215"/>
    <s v="Luke Weiss"/>
    <x v="0"/>
    <s v="United States"/>
    <x v="9"/>
    <x v="8"/>
    <x v="3"/>
    <s v="FUR-FU-10004973"/>
    <s v="Furniture"/>
    <x v="3"/>
    <s v="Flat Face Poster Frame"/>
    <n v="22.608000000000001"/>
    <n v="3"/>
    <n v="-10.1736"/>
    <x v="0"/>
    <x v="7"/>
  </r>
  <r>
    <s v="CA-2017-166184"/>
    <x v="781"/>
    <d v="2017-03-27T00:00:00"/>
    <x v="2"/>
    <s v="HR-14830"/>
    <s v="Harold Ryan"/>
    <x v="1"/>
    <s v="United States"/>
    <x v="13"/>
    <x v="7"/>
    <x v="2"/>
    <s v="FUR-CH-10003396"/>
    <s v="Furniture"/>
    <x v="1"/>
    <s v="Global Deluxe Steno Chair"/>
    <n v="207.846"/>
    <n v="3"/>
    <n v="2.3094000000000001"/>
    <x v="0"/>
    <x v="9"/>
  </r>
  <r>
    <s v="CA-2014-143637"/>
    <x v="782"/>
    <d v="2014-03-29T00:00:00"/>
    <x v="0"/>
    <s v="MS-17710"/>
    <s v="Maurice Satty"/>
    <x v="0"/>
    <s v="United States"/>
    <x v="99"/>
    <x v="2"/>
    <x v="1"/>
    <s v="FUR-FU-10002813"/>
    <s v="Furniture"/>
    <x v="3"/>
    <s v="DAX Contemporary Wood Frame with Silver Metal Mat, Desktop, 11 x 14 Size"/>
    <n v="40.479999999999997"/>
    <n v="2"/>
    <n v="14.572800000000001"/>
    <x v="2"/>
    <x v="9"/>
  </r>
  <r>
    <s v="CA-2016-134334"/>
    <x v="783"/>
    <d v="2016-02-15T00:00:00"/>
    <x v="2"/>
    <s v="DK-13090"/>
    <s v="Dave Kipp"/>
    <x v="0"/>
    <s v="United States"/>
    <x v="218"/>
    <x v="32"/>
    <x v="2"/>
    <s v="FUR-TA-10002356"/>
    <s v="Furniture"/>
    <x v="2"/>
    <s v="Bevis Boat-Shaped Conference Table"/>
    <n v="550.43100000000004"/>
    <n v="3"/>
    <n v="-47.1798"/>
    <x v="5"/>
    <x v="11"/>
  </r>
  <r>
    <s v="CA-2016-134334"/>
    <x v="783"/>
    <d v="2016-02-15T00:00:00"/>
    <x v="2"/>
    <s v="DK-13090"/>
    <s v="Dave Kipp"/>
    <x v="0"/>
    <s v="United States"/>
    <x v="218"/>
    <x v="32"/>
    <x v="2"/>
    <s v="FUR-FU-10003274"/>
    <s v="Furniture"/>
    <x v="3"/>
    <s v="Regeneration Desk Collection"/>
    <n v="10.56"/>
    <n v="6"/>
    <n v="4.6463999999999999"/>
    <x v="5"/>
    <x v="11"/>
  </r>
  <r>
    <s v="US-2017-109316"/>
    <x v="784"/>
    <d v="2017-06-10T00:00:00"/>
    <x v="2"/>
    <s v="MG-17680"/>
    <s v="Maureen Gastineau"/>
    <x v="2"/>
    <s v="United States"/>
    <x v="2"/>
    <x v="2"/>
    <x v="1"/>
    <s v="FUR-BO-10004834"/>
    <s v="Furniture"/>
    <x v="0"/>
    <s v="Riverside Palais Royal Lawyers Bookcase, Royale Cherry Finish"/>
    <n v="1497.6659999999999"/>
    <n v="2"/>
    <n v="140.95679999999999"/>
    <x v="3"/>
    <x v="2"/>
  </r>
  <r>
    <s v="CA-2014-125150"/>
    <x v="785"/>
    <d v="2014-05-23T00:00:00"/>
    <x v="1"/>
    <s v="PW-19030"/>
    <s v="Pauline Webber"/>
    <x v="1"/>
    <s v="United States"/>
    <x v="2"/>
    <x v="2"/>
    <x v="1"/>
    <s v="FUR-CH-10002439"/>
    <s v="Furniture"/>
    <x v="1"/>
    <s v="Iceberg Nesting Folding Chair, 19w x 6d x 43h"/>
    <n v="232.88"/>
    <n v="5"/>
    <n v="17.466000000000001"/>
    <x v="1"/>
    <x v="7"/>
  </r>
  <r>
    <s v="CA-2015-127327"/>
    <x v="136"/>
    <d v="2015-02-07T00:00:00"/>
    <x v="1"/>
    <s v="PW-19030"/>
    <s v="Pauline Webber"/>
    <x v="1"/>
    <s v="United States"/>
    <x v="248"/>
    <x v="7"/>
    <x v="2"/>
    <s v="FUR-CH-10004218"/>
    <s v="Furniture"/>
    <x v="1"/>
    <s v="Global Fabric Manager's Chair, Dark Gray"/>
    <n v="90.882000000000005"/>
    <n v="1"/>
    <n v="15.147"/>
    <x v="4"/>
    <x v="11"/>
  </r>
  <r>
    <s v="CA-2015-137302"/>
    <x v="12"/>
    <d v="2015-05-01T00:00:00"/>
    <x v="1"/>
    <s v="BW-11110"/>
    <s v="Bart Watters"/>
    <x v="1"/>
    <s v="United States"/>
    <x v="53"/>
    <x v="2"/>
    <x v="1"/>
    <s v="FUR-CH-10002017"/>
    <s v="Furniture"/>
    <x v="1"/>
    <s v="SAFCO Optional Arm Kit for Workspace Cribbage Stacking Chair"/>
    <n v="63.936"/>
    <n v="3"/>
    <n v="6.3936000000000002"/>
    <x v="2"/>
    <x v="6"/>
  </r>
  <r>
    <s v="CA-2015-106257"/>
    <x v="315"/>
    <d v="2015-04-17T00:00:00"/>
    <x v="0"/>
    <s v="EB-14110"/>
    <s v="Eugene Barchas"/>
    <x v="0"/>
    <s v="United States"/>
    <x v="2"/>
    <x v="2"/>
    <x v="1"/>
    <s v="FUR-TA-10002530"/>
    <s v="Furniture"/>
    <x v="2"/>
    <s v="Iceberg OfficeWorks 42&quot; Round Tables"/>
    <n v="241.56800000000001"/>
    <n v="2"/>
    <n v="-15.098000000000001"/>
    <x v="4"/>
    <x v="6"/>
  </r>
  <r>
    <s v="CA-2015-149083"/>
    <x v="4"/>
    <d v="2015-09-30T00:00:00"/>
    <x v="1"/>
    <s v="SH-19975"/>
    <s v="Sally Hughsby"/>
    <x v="1"/>
    <s v="United States"/>
    <x v="15"/>
    <x v="13"/>
    <x v="1"/>
    <s v="FUR-CH-10004289"/>
    <s v="Furniture"/>
    <x v="1"/>
    <s v="Global Super Steno Chair"/>
    <n v="307.13600000000002"/>
    <n v="4"/>
    <n v="-11.5176"/>
    <x v="2"/>
    <x v="4"/>
  </r>
  <r>
    <s v="US-2014-137869"/>
    <x v="786"/>
    <d v="2014-04-02T00:00:00"/>
    <x v="1"/>
    <s v="CV-12295"/>
    <s v="Christina VanderZanden"/>
    <x v="0"/>
    <s v="United States"/>
    <x v="67"/>
    <x v="26"/>
    <x v="3"/>
    <s v="FUR-TA-10003954"/>
    <s v="Furniture"/>
    <x v="2"/>
    <s v="Hon 94000 Series Round Tables"/>
    <n v="1184.72"/>
    <n v="4"/>
    <n v="106.62479999999999"/>
    <x v="2"/>
    <x v="9"/>
  </r>
  <r>
    <s v="US-2017-123834"/>
    <x v="720"/>
    <d v="2017-07-25T00:00:00"/>
    <x v="1"/>
    <s v="GM-14500"/>
    <s v="Gene McClure"/>
    <x v="0"/>
    <s v="United States"/>
    <x v="191"/>
    <x v="5"/>
    <x v="3"/>
    <s v="FUR-TA-10001676"/>
    <s v="Furniture"/>
    <x v="2"/>
    <s v="Hon 61000 Series Interactive Training Tables"/>
    <n v="124.404"/>
    <n v="4"/>
    <n v="-21.3264"/>
    <x v="4"/>
    <x v="3"/>
  </r>
  <r>
    <s v="CA-2016-128706"/>
    <x v="787"/>
    <d v="2016-03-02T00:00:00"/>
    <x v="1"/>
    <s v="DW-13540"/>
    <s v="Don Weiss"/>
    <x v="0"/>
    <s v="United States"/>
    <x v="6"/>
    <x v="5"/>
    <x v="3"/>
    <s v="FUR-FU-10004053"/>
    <s v="Furniture"/>
    <x v="3"/>
    <s v="DAX Two-Tone Silver Metal Document Frame"/>
    <n v="16.192"/>
    <n v="2"/>
    <n v="-6.8815999999999997"/>
    <x v="4"/>
    <x v="11"/>
  </r>
  <r>
    <s v="CA-2015-143364"/>
    <x v="788"/>
    <d v="2015-07-19T00:00:00"/>
    <x v="0"/>
    <s v="TG-21310"/>
    <s v="Toby Gnade"/>
    <x v="0"/>
    <s v="United States"/>
    <x v="81"/>
    <x v="22"/>
    <x v="1"/>
    <s v="FUR-CH-10004287"/>
    <s v="Furniture"/>
    <x v="1"/>
    <s v="SAFCO Arco Folding Chair"/>
    <n v="441.92"/>
    <n v="2"/>
    <n v="49.716000000000001"/>
    <x v="2"/>
    <x v="3"/>
  </r>
  <r>
    <s v="CA-2015-143364"/>
    <x v="788"/>
    <d v="2015-07-19T00:00:00"/>
    <x v="0"/>
    <s v="TG-21310"/>
    <s v="Toby Gnade"/>
    <x v="0"/>
    <s v="United States"/>
    <x v="81"/>
    <x v="22"/>
    <x v="1"/>
    <s v="FUR-BO-10001608"/>
    <s v="Furniture"/>
    <x v="0"/>
    <s v="Hon Metal Bookcases, Black"/>
    <n v="127.764"/>
    <n v="6"/>
    <n v="-191.64599999999999"/>
    <x v="2"/>
    <x v="3"/>
  </r>
  <r>
    <s v="CA-2016-101672"/>
    <x v="162"/>
    <d v="2016-10-07T00:00:00"/>
    <x v="1"/>
    <s v="DB-12910"/>
    <s v="Daniel Byrd"/>
    <x v="2"/>
    <s v="United States"/>
    <x v="284"/>
    <x v="2"/>
    <x v="1"/>
    <s v="FUR-CH-10004063"/>
    <s v="Furniture"/>
    <x v="1"/>
    <s v="Global Deluxe High-Back Manager's Chair"/>
    <n v="915.13599999999997"/>
    <n v="4"/>
    <n v="102.9528"/>
    <x v="4"/>
    <x v="1"/>
  </r>
  <r>
    <s v="CA-2016-160241"/>
    <x v="789"/>
    <d v="2016-12-04T00:00:00"/>
    <x v="0"/>
    <s v="DR-12940"/>
    <s v="Daniel Raglin"/>
    <x v="2"/>
    <s v="United States"/>
    <x v="14"/>
    <x v="8"/>
    <x v="3"/>
    <s v="FUR-FU-10003806"/>
    <s v="Furniture"/>
    <x v="3"/>
    <s v="Tenex Chairmat w/ Average Lip, 45&quot; x 53&quot;"/>
    <n v="242.17599999999999"/>
    <n v="4"/>
    <n v="-302.72000000000003"/>
    <x v="2"/>
    <x v="0"/>
  </r>
  <r>
    <s v="CA-2016-155747"/>
    <x v="184"/>
    <d v="2016-06-21T00:00:00"/>
    <x v="1"/>
    <s v="JS-15685"/>
    <s v="Jim Sink"/>
    <x v="1"/>
    <s v="United States"/>
    <x v="3"/>
    <x v="3"/>
    <x v="2"/>
    <s v="FUR-TA-10003392"/>
    <s v="Furniture"/>
    <x v="2"/>
    <s v="Global Adaptabilities Conference Tables"/>
    <n v="337.17599999999999"/>
    <n v="2"/>
    <n v="-118.0116"/>
    <x v="1"/>
    <x v="2"/>
  </r>
  <r>
    <s v="CA-2017-118017"/>
    <x v="587"/>
    <d v="2017-12-06T00:00:00"/>
    <x v="0"/>
    <s v="LC-16870"/>
    <s v="Lena Cacioppo"/>
    <x v="0"/>
    <s v="United States"/>
    <x v="332"/>
    <x v="12"/>
    <x v="1"/>
    <s v="FUR-FU-10004351"/>
    <s v="Furniture"/>
    <x v="3"/>
    <s v="Staple-based wall hangings"/>
    <n v="23.376000000000001"/>
    <n v="3"/>
    <n v="7.0128000000000004"/>
    <x v="0"/>
    <x v="5"/>
  </r>
  <r>
    <s v="CA-2017-118017"/>
    <x v="587"/>
    <d v="2017-12-06T00:00:00"/>
    <x v="0"/>
    <s v="LC-16870"/>
    <s v="Lena Cacioppo"/>
    <x v="0"/>
    <s v="United States"/>
    <x v="332"/>
    <x v="12"/>
    <x v="1"/>
    <s v="FUR-FU-10004270"/>
    <s v="Furniture"/>
    <x v="3"/>
    <s v="Eldon Image Series Desk Accessories, Burgundy"/>
    <n v="16.72"/>
    <n v="5"/>
    <n v="3.3439999999999999"/>
    <x v="0"/>
    <x v="5"/>
  </r>
  <r>
    <s v="CA-2017-118017"/>
    <x v="587"/>
    <d v="2017-12-06T00:00:00"/>
    <x v="0"/>
    <s v="LC-16870"/>
    <s v="Lena Cacioppo"/>
    <x v="0"/>
    <s v="United States"/>
    <x v="332"/>
    <x v="12"/>
    <x v="1"/>
    <s v="FUR-FU-10004053"/>
    <s v="Furniture"/>
    <x v="3"/>
    <s v="DAX Two-Tone Silver Metal Document Frame"/>
    <n v="16.192"/>
    <n v="1"/>
    <n v="4.6551999999999998"/>
    <x v="0"/>
    <x v="5"/>
  </r>
  <r>
    <s v="CA-2016-148684"/>
    <x v="683"/>
    <d v="2016-12-29T00:00:00"/>
    <x v="1"/>
    <s v="TS-21655"/>
    <s v="Trudy Schmidt"/>
    <x v="0"/>
    <s v="United States"/>
    <x v="160"/>
    <x v="31"/>
    <x v="0"/>
    <s v="FUR-FU-10003553"/>
    <s v="Furniture"/>
    <x v="3"/>
    <s v="Howard Miller 13-1/2&quot; Diameter Rosebrook Wall Clock"/>
    <n v="343.85"/>
    <n v="5"/>
    <n v="137.54"/>
    <x v="4"/>
    <x v="5"/>
  </r>
  <r>
    <s v="CA-2017-128363"/>
    <x v="790"/>
    <d v="2017-08-18T00:00:00"/>
    <x v="1"/>
    <s v="DC-12850"/>
    <s v="Dan Campbell"/>
    <x v="0"/>
    <s v="United States"/>
    <x v="10"/>
    <x v="9"/>
    <x v="0"/>
    <s v="FUR-FU-10003268"/>
    <s v="Furniture"/>
    <x v="3"/>
    <s v="Eldon Radial Chair Mat for Low to Medium Pile Carpets"/>
    <n v="31.984000000000002"/>
    <n v="1"/>
    <n v="0"/>
    <x v="2"/>
    <x v="10"/>
  </r>
  <r>
    <s v="CA-2017-128363"/>
    <x v="790"/>
    <d v="2017-08-18T00:00:00"/>
    <x v="1"/>
    <s v="DC-12850"/>
    <s v="Dan Campbell"/>
    <x v="0"/>
    <s v="United States"/>
    <x v="10"/>
    <x v="9"/>
    <x v="0"/>
    <s v="FUR-CH-10002073"/>
    <s v="Furniture"/>
    <x v="1"/>
    <s v="Hon Olson Stacker Chairs"/>
    <n v="423.64800000000002"/>
    <n v="2"/>
    <n v="47.660400000000003"/>
    <x v="2"/>
    <x v="10"/>
  </r>
  <r>
    <s v="CA-2016-149762"/>
    <x v="122"/>
    <d v="2016-12-07T00:00:00"/>
    <x v="1"/>
    <s v="RD-19720"/>
    <s v="Roger Demir"/>
    <x v="0"/>
    <s v="United States"/>
    <x v="333"/>
    <x v="2"/>
    <x v="1"/>
    <s v="FUR-TA-10004147"/>
    <s v="Furniture"/>
    <x v="2"/>
    <s v="Hon 4060 Series Tables"/>
    <n v="268.70400000000001"/>
    <n v="3"/>
    <n v="6.7176"/>
    <x v="4"/>
    <x v="5"/>
  </r>
  <r>
    <s v="CA-2016-149762"/>
    <x v="122"/>
    <d v="2016-12-07T00:00:00"/>
    <x v="1"/>
    <s v="RD-19720"/>
    <s v="Roger Demir"/>
    <x v="0"/>
    <s v="United States"/>
    <x v="333"/>
    <x v="2"/>
    <x v="1"/>
    <s v="FUR-BO-10001337"/>
    <s v="Furniture"/>
    <x v="0"/>
    <s v="O'Sullivan Living Dimensions 2-Shelf Bookcases"/>
    <n v="205.666"/>
    <n v="2"/>
    <n v="-12.098000000000001"/>
    <x v="4"/>
    <x v="5"/>
  </r>
  <r>
    <s v="CA-2016-167605"/>
    <x v="376"/>
    <d v="2016-04-30T00:00:00"/>
    <x v="0"/>
    <s v="RB-19570"/>
    <s v="Rob Beeghly"/>
    <x v="0"/>
    <s v="United States"/>
    <x v="317"/>
    <x v="8"/>
    <x v="3"/>
    <s v="FUR-FU-10001602"/>
    <s v="Furniture"/>
    <x v="3"/>
    <s v="Eldon Delta Triangular Chair Mat, 52&quot; x 58&quot;, Clear"/>
    <n v="30.344000000000001"/>
    <n v="2"/>
    <n v="-31.8612"/>
    <x v="3"/>
    <x v="6"/>
  </r>
  <r>
    <s v="CA-2015-110891"/>
    <x v="141"/>
    <d v="2015-11-24T00:00:00"/>
    <x v="1"/>
    <s v="PO-19195"/>
    <s v="Phillina Ober"/>
    <x v="2"/>
    <s v="United States"/>
    <x v="3"/>
    <x v="3"/>
    <x v="2"/>
    <s v="FUR-CH-10002880"/>
    <s v="Furniture"/>
    <x v="1"/>
    <s v="Global High-Back Leather Tilter, Burgundy"/>
    <n v="344.37200000000001"/>
    <n v="4"/>
    <n v="-93.472399999999993"/>
    <x v="4"/>
    <x v="0"/>
  </r>
  <r>
    <s v="CA-2017-120404"/>
    <x v="93"/>
    <d v="2017-11-24T00:00:00"/>
    <x v="0"/>
    <s v="KH-16330"/>
    <s v="Katharine Harms"/>
    <x v="1"/>
    <s v="United States"/>
    <x v="13"/>
    <x v="7"/>
    <x v="2"/>
    <s v="FUR-FU-10000820"/>
    <s v="Furniture"/>
    <x v="3"/>
    <s v="Tensor Brushed Steel Torchiere Floor Lamp"/>
    <n v="50.97"/>
    <n v="3"/>
    <n v="9.1745999999999999"/>
    <x v="4"/>
    <x v="0"/>
  </r>
  <r>
    <s v="CA-2017-167549"/>
    <x v="730"/>
    <d v="2017-07-27T00:00:00"/>
    <x v="2"/>
    <s v="EM-14200"/>
    <s v="Evan Minnotte"/>
    <x v="2"/>
    <s v="United States"/>
    <x v="144"/>
    <x v="5"/>
    <x v="3"/>
    <s v="FUR-TA-10004767"/>
    <s v="Furniture"/>
    <x v="2"/>
    <s v="Safco Drafting Table"/>
    <n v="298.11599999999999"/>
    <n v="6"/>
    <n v="-4.2587999999999999"/>
    <x v="3"/>
    <x v="3"/>
  </r>
  <r>
    <s v="US-2016-168095"/>
    <x v="791"/>
    <d v="2016-07-20T00:00:00"/>
    <x v="1"/>
    <s v="MC-17425"/>
    <s v="Mark Cousins"/>
    <x v="1"/>
    <s v="United States"/>
    <x v="295"/>
    <x v="36"/>
    <x v="1"/>
    <s v="FUR-CH-10004886"/>
    <s v="Furniture"/>
    <x v="1"/>
    <s v="Bevis Steel Folding Chairs"/>
    <n v="230.28"/>
    <n v="3"/>
    <n v="23.027999999999999"/>
    <x v="2"/>
    <x v="3"/>
  </r>
  <r>
    <s v="CA-2016-146325"/>
    <x v="469"/>
    <d v="2016-12-17T00:00:00"/>
    <x v="2"/>
    <s v="DS-13180"/>
    <s v="David Smith"/>
    <x v="1"/>
    <s v="United States"/>
    <x v="53"/>
    <x v="2"/>
    <x v="1"/>
    <s v="FUR-CH-10001146"/>
    <s v="Furniture"/>
    <x v="1"/>
    <s v="Global Task Chair, Black"/>
    <n v="81.424000000000007"/>
    <n v="2"/>
    <n v="-9.1601999999999997"/>
    <x v="0"/>
    <x v="5"/>
  </r>
  <r>
    <s v="CA-2014-131009"/>
    <x v="29"/>
    <d v="2014-03-05T00:00:00"/>
    <x v="1"/>
    <s v="SC-20380"/>
    <s v="Shahid Collister"/>
    <x v="0"/>
    <s v="United States"/>
    <x v="116"/>
    <x v="5"/>
    <x v="3"/>
    <s v="FUR-CH-10001270"/>
    <s v="Furniture"/>
    <x v="1"/>
    <s v="Harbour Creations Steel Folding Chair"/>
    <n v="362.25"/>
    <n v="6"/>
    <n v="0"/>
    <x v="4"/>
    <x v="9"/>
  </r>
  <r>
    <s v="CA-2014-131009"/>
    <x v="29"/>
    <d v="2014-03-05T00:00:00"/>
    <x v="1"/>
    <s v="SC-20380"/>
    <s v="Shahid Collister"/>
    <x v="0"/>
    <s v="United States"/>
    <x v="116"/>
    <x v="5"/>
    <x v="3"/>
    <s v="FUR-FU-10001095"/>
    <s v="Furniture"/>
    <x v="3"/>
    <s v="DAX Black Cherry Wood-Tone Poster Frame"/>
    <n v="63.552"/>
    <n v="6"/>
    <n v="-34.953600000000002"/>
    <x v="4"/>
    <x v="9"/>
  </r>
  <r>
    <s v="CA-2017-131807"/>
    <x v="702"/>
    <d v="2017-10-10T00:00:00"/>
    <x v="1"/>
    <s v="GG-14650"/>
    <s v="Greg Guthrie"/>
    <x v="1"/>
    <s v="United States"/>
    <x v="297"/>
    <x v="2"/>
    <x v="1"/>
    <s v="FUR-CH-10001190"/>
    <s v="Furniture"/>
    <x v="1"/>
    <s v="Global Deluxe High-Back Office Chair in Storm"/>
    <n v="435.16800000000001"/>
    <n v="4"/>
    <n v="-59.835599999999999"/>
    <x v="2"/>
    <x v="1"/>
  </r>
  <r>
    <s v="CA-2017-131807"/>
    <x v="702"/>
    <d v="2017-10-10T00:00:00"/>
    <x v="1"/>
    <s v="GG-14650"/>
    <s v="Greg Guthrie"/>
    <x v="1"/>
    <s v="United States"/>
    <x v="297"/>
    <x v="2"/>
    <x v="1"/>
    <s v="FUR-FU-10004666"/>
    <s v="Furniture"/>
    <x v="3"/>
    <s v="DAX Clear Channel Poster Frame"/>
    <n v="72.900000000000006"/>
    <n v="5"/>
    <n v="26.972999999999999"/>
    <x v="2"/>
    <x v="1"/>
  </r>
  <r>
    <s v="CA-2017-131807"/>
    <x v="702"/>
    <d v="2017-10-10T00:00:00"/>
    <x v="1"/>
    <s v="GG-14650"/>
    <s v="Greg Guthrie"/>
    <x v="1"/>
    <s v="United States"/>
    <x v="297"/>
    <x v="2"/>
    <x v="1"/>
    <s v="FUR-TA-10004086"/>
    <s v="Furniture"/>
    <x v="2"/>
    <s v="KI Adjustable-Height Table"/>
    <n v="206.352"/>
    <n v="3"/>
    <n v="5.1588000000000003"/>
    <x v="2"/>
    <x v="1"/>
  </r>
  <r>
    <s v="CA-2016-157707"/>
    <x v="792"/>
    <d v="2016-10-12T00:00:00"/>
    <x v="2"/>
    <s v="CC-12610"/>
    <s v="Corey Catlett"/>
    <x v="1"/>
    <s v="United States"/>
    <x v="22"/>
    <x v="12"/>
    <x v="1"/>
    <s v="FUR-BO-10001567"/>
    <s v="Furniture"/>
    <x v="0"/>
    <s v="Bush Westfield Collection Bookcases, Dark Cherry Finish, Fully Assembled"/>
    <n v="90.882000000000005"/>
    <n v="3"/>
    <n v="-190.85220000000001"/>
    <x v="3"/>
    <x v="1"/>
  </r>
  <r>
    <s v="CA-2016-157707"/>
    <x v="792"/>
    <d v="2016-10-12T00:00:00"/>
    <x v="2"/>
    <s v="CC-12610"/>
    <s v="Corey Catlett"/>
    <x v="1"/>
    <s v="United States"/>
    <x v="22"/>
    <x v="12"/>
    <x v="1"/>
    <s v="FUR-CH-10004853"/>
    <s v="Furniture"/>
    <x v="1"/>
    <s v="Global Manager's Adjustable Task Chair, Storm"/>
    <n v="120.78400000000001"/>
    <n v="1"/>
    <n v="13.588200000000001"/>
    <x v="3"/>
    <x v="1"/>
  </r>
  <r>
    <s v="US-2015-126753"/>
    <x v="793"/>
    <d v="2015-08-20T00:00:00"/>
    <x v="1"/>
    <s v="SP-20860"/>
    <s v="Sung Pak"/>
    <x v="1"/>
    <s v="United States"/>
    <x v="3"/>
    <x v="3"/>
    <x v="2"/>
    <s v="FUR-FU-10001488"/>
    <s v="Furniture"/>
    <x v="3"/>
    <s v="Tenex 46&quot; x 60&quot; Computer Anti-Static Chairmat, Rectangular Shaped"/>
    <n v="254.352"/>
    <n v="3"/>
    <n v="0"/>
    <x v="4"/>
    <x v="10"/>
  </r>
  <r>
    <s v="CA-2014-113383"/>
    <x v="767"/>
    <d v="2014-09-13T00:00:00"/>
    <x v="2"/>
    <s v="SF-20065"/>
    <s v="Sandra Flanagan"/>
    <x v="0"/>
    <s v="United States"/>
    <x v="334"/>
    <x v="18"/>
    <x v="2"/>
    <s v="FUR-FU-10001986"/>
    <s v="Furniture"/>
    <x v="3"/>
    <s v="Dana Fluorescent Magnifying Lamp, White, 36&quot;"/>
    <n v="254.9"/>
    <n v="5"/>
    <n v="76.47"/>
    <x v="0"/>
    <x v="4"/>
  </r>
  <r>
    <s v="US-2015-165743"/>
    <x v="141"/>
    <d v="2015-11-23T00:00:00"/>
    <x v="0"/>
    <s v="MM-18055"/>
    <s v="Michelle Moray"/>
    <x v="0"/>
    <s v="United States"/>
    <x v="14"/>
    <x v="12"/>
    <x v="1"/>
    <s v="FUR-BO-10002268"/>
    <s v="Furniture"/>
    <x v="0"/>
    <s v="Sauder Barrister Bookcases"/>
    <n v="145.76400000000001"/>
    <n v="6"/>
    <n v="-247.7988"/>
    <x v="0"/>
    <x v="0"/>
  </r>
  <r>
    <s v="US-2017-105998"/>
    <x v="54"/>
    <d v="2017-11-05T00:00:00"/>
    <x v="2"/>
    <s v="CR-12580"/>
    <s v="Clay Rozendal"/>
    <x v="2"/>
    <s v="United States"/>
    <x v="53"/>
    <x v="2"/>
    <x v="1"/>
    <s v="FUR-TA-10001095"/>
    <s v="Furniture"/>
    <x v="2"/>
    <s v="Chromcraft Round Conference Tables"/>
    <n v="1673.184"/>
    <n v="12"/>
    <n v="20.9148"/>
    <x v="3"/>
    <x v="0"/>
  </r>
  <r>
    <s v="US-2014-148194"/>
    <x v="236"/>
    <d v="2014-05-07T00:00:00"/>
    <x v="2"/>
    <s v="BS-11365"/>
    <s v="Bill Shonely"/>
    <x v="1"/>
    <s v="United States"/>
    <x v="15"/>
    <x v="13"/>
    <x v="1"/>
    <s v="FUR-FU-10001852"/>
    <s v="Furniture"/>
    <x v="3"/>
    <s v="Eldon Regeneration Recycled Desk Accessories, Smoke"/>
    <n v="12.18"/>
    <n v="7"/>
    <n v="3.8976000000000002"/>
    <x v="0"/>
    <x v="7"/>
  </r>
  <r>
    <s v="CA-2014-143210"/>
    <x v="280"/>
    <d v="2014-12-03T00:00:00"/>
    <x v="2"/>
    <s v="AA-10645"/>
    <s v="Anna Andreadi"/>
    <x v="0"/>
    <s v="United States"/>
    <x v="172"/>
    <x v="20"/>
    <x v="2"/>
    <s v="FUR-FU-10003878"/>
    <s v="Furniture"/>
    <x v="3"/>
    <s v="Linden 10&quot; Round Wall Clock, Black"/>
    <n v="45.84"/>
    <n v="3"/>
    <n v="15.585599999999999"/>
    <x v="3"/>
    <x v="5"/>
  </r>
  <r>
    <s v="CA-2014-143210"/>
    <x v="280"/>
    <d v="2014-12-03T00:00:00"/>
    <x v="2"/>
    <s v="AA-10645"/>
    <s v="Anna Andreadi"/>
    <x v="0"/>
    <s v="United States"/>
    <x v="172"/>
    <x v="20"/>
    <x v="2"/>
    <s v="FUR-FU-10002268"/>
    <s v="Furniture"/>
    <x v="3"/>
    <s v="Ultra Door Push Plate"/>
    <n v="9.82"/>
    <n v="2"/>
    <n v="3.2406000000000001"/>
    <x v="3"/>
    <x v="5"/>
  </r>
  <r>
    <s v="CA-2015-110863"/>
    <x v="669"/>
    <d v="2015-11-24T00:00:00"/>
    <x v="1"/>
    <s v="AA-10645"/>
    <s v="Anna Andreadi"/>
    <x v="0"/>
    <s v="United States"/>
    <x v="258"/>
    <x v="37"/>
    <x v="3"/>
    <s v="FUR-CH-10002073"/>
    <s v="Furniture"/>
    <x v="1"/>
    <s v="Hon Olson Stacker Chairs"/>
    <n v="1323.9"/>
    <n v="5"/>
    <n v="383.93099999999998"/>
    <x v="1"/>
    <x v="0"/>
  </r>
  <r>
    <s v="CA-2017-120168"/>
    <x v="794"/>
    <d v="2017-05-25T00:00:00"/>
    <x v="3"/>
    <s v="TB-21625"/>
    <s v="Trudy Brown"/>
    <x v="0"/>
    <s v="United States"/>
    <x v="13"/>
    <x v="7"/>
    <x v="2"/>
    <s v="FUR-FU-10000732"/>
    <s v="Furniture"/>
    <x v="3"/>
    <s v="Eldon 200 Class Desk Accessories"/>
    <n v="18.84"/>
    <n v="3"/>
    <n v="6.0288000000000004"/>
    <x v="7"/>
    <x v="7"/>
  </r>
  <r>
    <s v="US-2014-131870"/>
    <x v="383"/>
    <d v="2014-09-11T00:00:00"/>
    <x v="2"/>
    <s v="NF-18595"/>
    <s v="Nicole Fjeld"/>
    <x v="2"/>
    <s v="United States"/>
    <x v="68"/>
    <x v="15"/>
    <x v="2"/>
    <s v="FUR-FU-10002501"/>
    <s v="Furniture"/>
    <x v="3"/>
    <s v="Nu-Dell Executive Frame"/>
    <n v="60.671999999999997"/>
    <n v="6"/>
    <n v="12.892799999999999"/>
    <x v="3"/>
    <x v="4"/>
  </r>
  <r>
    <s v="CA-2014-129189"/>
    <x v="294"/>
    <d v="2014-07-25T00:00:00"/>
    <x v="1"/>
    <s v="HM-14860"/>
    <s v="Harry Marie"/>
    <x v="1"/>
    <s v="United States"/>
    <x v="144"/>
    <x v="5"/>
    <x v="3"/>
    <s v="FUR-CH-10004997"/>
    <s v="Furniture"/>
    <x v="1"/>
    <s v="Hon Every-Day Series Multi-Task Chairs"/>
    <n v="657.93"/>
    <n v="5"/>
    <n v="-93.99"/>
    <x v="4"/>
    <x v="3"/>
  </r>
  <r>
    <s v="CA-2015-132465"/>
    <x v="795"/>
    <d v="2015-09-15T00:00:00"/>
    <x v="0"/>
    <s v="DM-13525"/>
    <s v="Don Miller"/>
    <x v="1"/>
    <s v="United States"/>
    <x v="13"/>
    <x v="7"/>
    <x v="2"/>
    <s v="FUR-FU-10000277"/>
    <s v="Furniture"/>
    <x v="3"/>
    <s v="Deflect-o DuraMat Antistatic Studded Beveled Mat for Medium Pile Carpeting"/>
    <n v="210.68"/>
    <n v="2"/>
    <n v="50.563200000000002"/>
    <x v="4"/>
    <x v="4"/>
  </r>
  <r>
    <s v="CA-2016-158806"/>
    <x v="796"/>
    <d v="2016-01-11T00:00:00"/>
    <x v="1"/>
    <s v="NM-18520"/>
    <s v="Neoma Murray"/>
    <x v="0"/>
    <s v="United States"/>
    <x v="45"/>
    <x v="5"/>
    <x v="3"/>
    <s v="FUR-FU-10004270"/>
    <s v="Furniture"/>
    <x v="3"/>
    <s v="Executive Impressions 13&quot; Clairmont Wall Clock"/>
    <n v="23.076000000000001"/>
    <n v="3"/>
    <n v="-10.9611"/>
    <x v="4"/>
    <x v="8"/>
  </r>
  <r>
    <s v="CA-2015-119690"/>
    <x v="528"/>
    <d v="2015-06-28T00:00:00"/>
    <x v="2"/>
    <s v="MV-17485"/>
    <s v="Mark Van Huff"/>
    <x v="0"/>
    <s v="United States"/>
    <x v="6"/>
    <x v="5"/>
    <x v="3"/>
    <s v="FUR-FU-10004587"/>
    <s v="Furniture"/>
    <x v="3"/>
    <s v="GE General Use Halogen Bulbs, 100 Watts, 1 Bulb per Pack"/>
    <n v="75.384"/>
    <n v="9"/>
    <n v="-20.730599999999999"/>
    <x v="0"/>
    <x v="2"/>
  </r>
  <r>
    <s v="CA-2017-109393"/>
    <x v="254"/>
    <d v="2017-07-02T00:00:00"/>
    <x v="0"/>
    <s v="JC-15775"/>
    <s v="John Castell"/>
    <x v="0"/>
    <s v="United States"/>
    <x v="2"/>
    <x v="2"/>
    <x v="1"/>
    <s v="FUR-BO-10003966"/>
    <s v="Furniture"/>
    <x v="0"/>
    <s v="Sauder Facets Collection Library, Sky Alder Finish"/>
    <n v="435.99900000000002"/>
    <n v="3"/>
    <n v="5.1294000000000004"/>
    <x v="3"/>
    <x v="2"/>
  </r>
  <r>
    <s v="CA-2017-121489"/>
    <x v="67"/>
    <d v="2017-08-25T00:00:00"/>
    <x v="0"/>
    <s v="CM-11815"/>
    <s v="Candace McMahon"/>
    <x v="1"/>
    <s v="United States"/>
    <x v="15"/>
    <x v="13"/>
    <x v="1"/>
    <s v="FUR-CH-10004698"/>
    <s v="Furniture"/>
    <x v="1"/>
    <s v="Padded Folding Chairs, Black, 4/Carton"/>
    <n v="388.70400000000001"/>
    <n v="6"/>
    <n v="38.870399999999997"/>
    <x v="4"/>
    <x v="10"/>
  </r>
  <r>
    <s v="US-2017-133081"/>
    <x v="745"/>
    <d v="2017-03-15T00:00:00"/>
    <x v="1"/>
    <s v="PV-18985"/>
    <s v="Paul Van Hugh"/>
    <x v="2"/>
    <s v="United States"/>
    <x v="335"/>
    <x v="20"/>
    <x v="2"/>
    <s v="FUR-FU-10001379"/>
    <s v="Furniture"/>
    <x v="3"/>
    <s v="Executive Impressions 16-1/2&quot; Circular Wall Clock"/>
    <n v="26.72"/>
    <n v="1"/>
    <n v="11.7568"/>
    <x v="4"/>
    <x v="9"/>
  </r>
  <r>
    <s v="CA-2014-144974"/>
    <x v="218"/>
    <d v="2014-09-30T00:00:00"/>
    <x v="1"/>
    <s v="CM-12715"/>
    <s v="Craig Molinari"/>
    <x v="1"/>
    <s v="United States"/>
    <x v="3"/>
    <x v="3"/>
    <x v="2"/>
    <s v="FUR-FU-10001095"/>
    <s v="Furniture"/>
    <x v="3"/>
    <s v="DAX Black Cherry Wood-Tone Poster Frame"/>
    <n v="21.184000000000001"/>
    <n v="1"/>
    <n v="4.7664"/>
    <x v="4"/>
    <x v="4"/>
  </r>
  <r>
    <s v="CA-2015-121188"/>
    <x v="797"/>
    <d v="2015-09-04T00:00:00"/>
    <x v="1"/>
    <s v="CB-12025"/>
    <s v="Cassandra Brandow"/>
    <x v="0"/>
    <s v="United States"/>
    <x v="2"/>
    <x v="2"/>
    <x v="1"/>
    <s v="FUR-BO-10004695"/>
    <s v="Furniture"/>
    <x v="0"/>
    <s v="O'Sullivan 2-Door Barrister Bookcase in Odessa Pine"/>
    <n v="307.666"/>
    <n v="2"/>
    <n v="28.956800000000001"/>
    <x v="1"/>
    <x v="10"/>
  </r>
  <r>
    <s v="CA-2015-121188"/>
    <x v="797"/>
    <d v="2015-09-04T00:00:00"/>
    <x v="1"/>
    <s v="CB-12025"/>
    <s v="Cassandra Brandow"/>
    <x v="0"/>
    <s v="United States"/>
    <x v="2"/>
    <x v="2"/>
    <x v="1"/>
    <s v="FUR-FU-10003981"/>
    <s v="Furniture"/>
    <x v="3"/>
    <s v="Eldon Wave Desk Accessories"/>
    <n v="4.16"/>
    <n v="2"/>
    <n v="1.7472000000000001"/>
    <x v="1"/>
    <x v="10"/>
  </r>
  <r>
    <s v="US-2015-160563"/>
    <x v="798"/>
    <d v="2015-10-24T00:00:00"/>
    <x v="1"/>
    <s v="NS-18640"/>
    <s v="Noel Staavos"/>
    <x v="1"/>
    <s v="United States"/>
    <x v="28"/>
    <x v="2"/>
    <x v="1"/>
    <s v="FUR-FU-10001731"/>
    <s v="Furniture"/>
    <x v="3"/>
    <s v="Acrylic Self-Standing Desk Frames"/>
    <n v="16.02"/>
    <n v="6"/>
    <n v="6.0876000000000001"/>
    <x v="4"/>
    <x v="1"/>
  </r>
  <r>
    <s v="CA-2017-151750"/>
    <x v="143"/>
    <d v="2017-01-05T00:00:00"/>
    <x v="1"/>
    <s v="JM-15250"/>
    <s v="Janet Martin"/>
    <x v="0"/>
    <s v="United States"/>
    <x v="156"/>
    <x v="5"/>
    <x v="3"/>
    <s v="FUR-FU-10002116"/>
    <s v="Furniture"/>
    <x v="3"/>
    <s v="Tenex Carpeted, Granite-Look or Clear Contemporary Contour Shape Chair Mats"/>
    <n v="141.41999999999999"/>
    <n v="5"/>
    <n v="-187.38149999999999"/>
    <x v="4"/>
    <x v="8"/>
  </r>
  <r>
    <s v="CA-2017-151750"/>
    <x v="143"/>
    <d v="2017-01-05T00:00:00"/>
    <x v="1"/>
    <s v="JM-15250"/>
    <s v="Janet Martin"/>
    <x v="0"/>
    <s v="United States"/>
    <x v="156"/>
    <x v="5"/>
    <x v="3"/>
    <s v="FUR-CH-10003199"/>
    <s v="Furniture"/>
    <x v="1"/>
    <s v="Office Star - Contemporary Task Swivel Chair"/>
    <n v="310.74400000000003"/>
    <n v="4"/>
    <n v="-26.635200000000001"/>
    <x v="4"/>
    <x v="8"/>
  </r>
  <r>
    <s v="CA-2015-106187"/>
    <x v="799"/>
    <d v="2015-06-29T00:00:00"/>
    <x v="1"/>
    <s v="RF-19345"/>
    <s v="Randy Ferguson"/>
    <x v="1"/>
    <s v="United States"/>
    <x v="336"/>
    <x v="24"/>
    <x v="0"/>
    <s v="FUR-FU-10000794"/>
    <s v="Furniture"/>
    <x v="3"/>
    <s v="Eldon Stackable Tray, Side-Load, Legal, Smoke"/>
    <n v="27.42"/>
    <n v="3"/>
    <n v="9.3228000000000009"/>
    <x v="6"/>
    <x v="2"/>
  </r>
  <r>
    <s v="CA-2016-105753"/>
    <x v="697"/>
    <d v="2016-10-26T00:00:00"/>
    <x v="1"/>
    <s v="LC-16960"/>
    <s v="Lindsay Castell"/>
    <x v="2"/>
    <s v="United States"/>
    <x v="58"/>
    <x v="25"/>
    <x v="0"/>
    <s v="FUR-FU-10000246"/>
    <s v="Furniture"/>
    <x v="3"/>
    <s v="Aluminum Document Frame"/>
    <n v="61.1"/>
    <n v="5"/>
    <n v="18.329999999999998"/>
    <x v="6"/>
    <x v="1"/>
  </r>
  <r>
    <s v="CA-2017-133046"/>
    <x v="534"/>
    <d v="2017-08-01T00:00:00"/>
    <x v="0"/>
    <s v="DK-13375"/>
    <s v="Dennis Kane"/>
    <x v="0"/>
    <s v="United States"/>
    <x v="15"/>
    <x v="13"/>
    <x v="1"/>
    <s v="FUR-FU-10001940"/>
    <s v="Furniture"/>
    <x v="3"/>
    <s v="Staple-based wall hangings"/>
    <n v="23.88"/>
    <n v="3"/>
    <n v="10.507199999999999"/>
    <x v="2"/>
    <x v="3"/>
  </r>
  <r>
    <s v="CA-2017-159149"/>
    <x v="506"/>
    <d v="2017-02-19T00:00:00"/>
    <x v="2"/>
    <s v="CR-12820"/>
    <s v="Cyra Reiten"/>
    <x v="2"/>
    <s v="United States"/>
    <x v="6"/>
    <x v="5"/>
    <x v="3"/>
    <s v="FUR-BO-10001601"/>
    <s v="Furniture"/>
    <x v="0"/>
    <s v="Sauder Mission Library with Doors, Fruitwood Finish"/>
    <n v="89.066400000000002"/>
    <n v="1"/>
    <n v="-17.0274"/>
    <x v="3"/>
    <x v="11"/>
  </r>
  <r>
    <s v="US-2017-167570"/>
    <x v="64"/>
    <d v="2017-12-15T00:00:00"/>
    <x v="1"/>
    <s v="EG-13900"/>
    <s v="Emily Grady"/>
    <x v="0"/>
    <s v="United States"/>
    <x v="3"/>
    <x v="3"/>
    <x v="2"/>
    <s v="FUR-CH-10003396"/>
    <s v="Furniture"/>
    <x v="1"/>
    <s v="Global Deluxe Steno Chair"/>
    <n v="215.54400000000001"/>
    <n v="4"/>
    <n v="-58.504800000000003"/>
    <x v="1"/>
    <x v="5"/>
  </r>
  <r>
    <s v="CA-2017-160122"/>
    <x v="414"/>
    <d v="2017-11-23T00:00:00"/>
    <x v="1"/>
    <s v="RD-19930"/>
    <s v="Russell D'Ascenzo"/>
    <x v="0"/>
    <s v="United States"/>
    <x v="9"/>
    <x v="8"/>
    <x v="3"/>
    <s v="FUR-CH-10000422"/>
    <s v="Furniture"/>
    <x v="1"/>
    <s v="Global Highback Leather Tilter in Burgundy"/>
    <n v="127.386"/>
    <n v="2"/>
    <n v="-25.4772"/>
    <x v="2"/>
    <x v="0"/>
  </r>
  <r>
    <s v="CA-2016-130393"/>
    <x v="193"/>
    <d v="2016-12-03T00:00:00"/>
    <x v="0"/>
    <s v="JM-15865"/>
    <s v="John Murray"/>
    <x v="0"/>
    <s v="United States"/>
    <x v="147"/>
    <x v="5"/>
    <x v="3"/>
    <s v="FUR-CH-10002647"/>
    <s v="Furniture"/>
    <x v="1"/>
    <s v="Situations Contoured Folding Chairs, 4/Set"/>
    <n v="248.43"/>
    <n v="5"/>
    <n v="-17.745000000000001"/>
    <x v="3"/>
    <x v="5"/>
  </r>
  <r>
    <s v="CA-2016-130393"/>
    <x v="193"/>
    <d v="2016-12-03T00:00:00"/>
    <x v="0"/>
    <s v="JM-15865"/>
    <s v="John Murray"/>
    <x v="0"/>
    <s v="United States"/>
    <x v="147"/>
    <x v="5"/>
    <x v="3"/>
    <s v="FUR-CH-10004477"/>
    <s v="Furniture"/>
    <x v="1"/>
    <s v="Global Push Button Manager's Chair, Indigo"/>
    <n v="85.245999999999995"/>
    <n v="2"/>
    <n v="-1.2178"/>
    <x v="3"/>
    <x v="5"/>
  </r>
  <r>
    <s v="CA-2017-101014"/>
    <x v="800"/>
    <d v="2017-09-04T00:00:00"/>
    <x v="1"/>
    <s v="RW-19540"/>
    <s v="Rick Wilson"/>
    <x v="1"/>
    <s v="United States"/>
    <x v="2"/>
    <x v="2"/>
    <x v="1"/>
    <s v="FUR-FU-10003374"/>
    <s v="Furniture"/>
    <x v="3"/>
    <s v="Electrix Fluorescent Magnifier Lamps &amp; Weighted Base"/>
    <n v="148.02000000000001"/>
    <n v="3"/>
    <n v="41.445599999999999"/>
    <x v="6"/>
    <x v="10"/>
  </r>
  <r>
    <s v="US-2017-106551"/>
    <x v="801"/>
    <d v="2017-07-27T00:00:00"/>
    <x v="1"/>
    <s v="EB-13930"/>
    <s v="Eric Barreto"/>
    <x v="0"/>
    <s v="United States"/>
    <x v="9"/>
    <x v="8"/>
    <x v="3"/>
    <s v="FUR-CH-10004997"/>
    <s v="Furniture"/>
    <x v="1"/>
    <s v="Hon Every-Day Series Multi-Task Chairs"/>
    <n v="526.34400000000005"/>
    <n v="4"/>
    <n v="-75.191999999999993"/>
    <x v="2"/>
    <x v="3"/>
  </r>
  <r>
    <s v="CA-2016-116722"/>
    <x v="367"/>
    <d v="2016-11-16T00:00:00"/>
    <x v="1"/>
    <s v="LP-17080"/>
    <s v="Liz Pelletier"/>
    <x v="0"/>
    <s v="United States"/>
    <x v="28"/>
    <x v="2"/>
    <x v="1"/>
    <s v="FUR-FU-10001934"/>
    <s v="Furniture"/>
    <x v="3"/>
    <s v="Magnifier Swing Arm Lamp"/>
    <n v="41.96"/>
    <n v="2"/>
    <n v="10.909599999999999"/>
    <x v="2"/>
    <x v="0"/>
  </r>
  <r>
    <s v="CA-2016-116722"/>
    <x v="367"/>
    <d v="2016-11-16T00:00:00"/>
    <x v="1"/>
    <s v="LP-17080"/>
    <s v="Liz Pelletier"/>
    <x v="0"/>
    <s v="United States"/>
    <x v="28"/>
    <x v="2"/>
    <x v="1"/>
    <s v="FUR-CH-10004997"/>
    <s v="Furniture"/>
    <x v="1"/>
    <s v="Hon Every-Day Series Multi-Task Chairs"/>
    <n v="451.15199999999999"/>
    <n v="3"/>
    <n v="0"/>
    <x v="2"/>
    <x v="0"/>
  </r>
  <r>
    <s v="US-2017-150070"/>
    <x v="87"/>
    <d v="2017-09-12T00:00:00"/>
    <x v="1"/>
    <s v="JA-15970"/>
    <s v="Joseph Airdo"/>
    <x v="0"/>
    <s v="United States"/>
    <x v="337"/>
    <x v="2"/>
    <x v="1"/>
    <s v="FUR-CH-10004860"/>
    <s v="Furniture"/>
    <x v="1"/>
    <s v="Global Low Back Tilter Chair"/>
    <n v="161.56800000000001"/>
    <n v="2"/>
    <n v="-28.2744"/>
    <x v="2"/>
    <x v="4"/>
  </r>
  <r>
    <s v="CA-2017-157350"/>
    <x v="802"/>
    <d v="2017-09-01T00:00:00"/>
    <x v="1"/>
    <s v="DP-13000"/>
    <s v="Darren Powers"/>
    <x v="0"/>
    <s v="United States"/>
    <x v="9"/>
    <x v="8"/>
    <x v="3"/>
    <s v="FUR-FU-10000222"/>
    <s v="Furniture"/>
    <x v="3"/>
    <s v="Seth Thomas 16&quot; Steel Case Clock"/>
    <n v="64.959999999999994"/>
    <n v="5"/>
    <n v="-43.847999999999999"/>
    <x v="6"/>
    <x v="10"/>
  </r>
  <r>
    <s v="CA-2015-131352"/>
    <x v="643"/>
    <d v="2015-10-13T00:00:00"/>
    <x v="1"/>
    <s v="GH-14485"/>
    <s v="Gene Hale"/>
    <x v="1"/>
    <s v="United States"/>
    <x v="144"/>
    <x v="5"/>
    <x v="3"/>
    <s v="FUR-FU-10003708"/>
    <s v="Furniture"/>
    <x v="3"/>
    <s v="Tenex Traditional Chairmats for Medium Pile Carpet, Standard Lip, 36&quot; x 48&quot;"/>
    <n v="72.78"/>
    <n v="3"/>
    <n v="-70.960499999999996"/>
    <x v="2"/>
    <x v="1"/>
  </r>
  <r>
    <s v="CA-2016-118073"/>
    <x v="577"/>
    <d v="2016-08-16T00:00:00"/>
    <x v="1"/>
    <s v="CS-12490"/>
    <s v="Cindy Schnelling"/>
    <x v="1"/>
    <s v="United States"/>
    <x v="49"/>
    <x v="1"/>
    <x v="0"/>
    <s v="FUR-TA-10002533"/>
    <s v="Furniture"/>
    <x v="2"/>
    <s v="BPI Conference Tables"/>
    <n v="562.29250000000002"/>
    <n v="7"/>
    <n v="-255.58750000000001"/>
    <x v="4"/>
    <x v="10"/>
  </r>
  <r>
    <s v="CA-2014-103219"/>
    <x v="77"/>
    <d v="2014-11-13T00:00:00"/>
    <x v="1"/>
    <s v="BF-11215"/>
    <s v="Benjamin Farhat"/>
    <x v="2"/>
    <s v="United States"/>
    <x v="13"/>
    <x v="7"/>
    <x v="2"/>
    <s v="FUR-FU-10004091"/>
    <s v="Furniture"/>
    <x v="3"/>
    <s v="Eldon 200 Class Desk Accessories, Black"/>
    <n v="56.52"/>
    <n v="9"/>
    <n v="21.477599999999999"/>
    <x v="4"/>
    <x v="0"/>
  </r>
  <r>
    <s v="CA-2016-100993"/>
    <x v="223"/>
    <d v="2016-02-10T00:00:00"/>
    <x v="1"/>
    <s v="AZ-10750"/>
    <s v="Annie Zypern"/>
    <x v="0"/>
    <s v="United States"/>
    <x v="53"/>
    <x v="2"/>
    <x v="1"/>
    <s v="FUR-TA-10001095"/>
    <s v="Furniture"/>
    <x v="2"/>
    <s v="Chromcraft Round Conference Tables"/>
    <n v="557.72799999999995"/>
    <n v="4"/>
    <n v="6.9715999999999996"/>
    <x v="2"/>
    <x v="11"/>
  </r>
  <r>
    <s v="CA-2014-167997"/>
    <x v="375"/>
    <d v="2014-01-29T00:00:00"/>
    <x v="2"/>
    <s v="CA-11965"/>
    <s v="Carol Adams"/>
    <x v="1"/>
    <s v="United States"/>
    <x v="338"/>
    <x v="40"/>
    <x v="3"/>
    <s v="FUR-BO-10004409"/>
    <s v="Furniture"/>
    <x v="0"/>
    <s v="Safco Value Mate Series Steel Bookcases, Baked Enamel Finish on Steel, Gray"/>
    <n v="141.96"/>
    <n v="2"/>
    <n v="39.748800000000003"/>
    <x v="0"/>
    <x v="8"/>
  </r>
  <r>
    <s v="CA-2016-131296"/>
    <x v="803"/>
    <d v="2016-10-09T00:00:00"/>
    <x v="1"/>
    <s v="MS-17830"/>
    <s v="Melanie Seite"/>
    <x v="0"/>
    <s v="United States"/>
    <x v="237"/>
    <x v="32"/>
    <x v="2"/>
    <s v="FUR-TA-10002622"/>
    <s v="Furniture"/>
    <x v="2"/>
    <s v="Bush Andora Conference Table, Maple/Graphite Gray Finish"/>
    <n v="239.37200000000001"/>
    <n v="2"/>
    <n v="-23.937200000000001"/>
    <x v="2"/>
    <x v="1"/>
  </r>
  <r>
    <s v="CA-2016-134138"/>
    <x v="285"/>
    <d v="2016-02-20T00:00:00"/>
    <x v="1"/>
    <s v="JD-15790"/>
    <s v="John Dryer"/>
    <x v="0"/>
    <s v="United States"/>
    <x v="31"/>
    <x v="18"/>
    <x v="2"/>
    <s v="FUR-CH-10001545"/>
    <s v="Furniture"/>
    <x v="1"/>
    <s v="Hon Comfortask Task/Swivel Chairs"/>
    <n v="227.96"/>
    <n v="2"/>
    <n v="36.473599999999998"/>
    <x v="4"/>
    <x v="11"/>
  </r>
  <r>
    <s v="CA-2015-168207"/>
    <x v="46"/>
    <d v="2015-11-06T00:00:00"/>
    <x v="1"/>
    <s v="LT-17110"/>
    <s v="Liz Thompson"/>
    <x v="0"/>
    <s v="United States"/>
    <x v="53"/>
    <x v="2"/>
    <x v="1"/>
    <s v="FUR-FU-10004909"/>
    <s v="Furniture"/>
    <x v="3"/>
    <s v="Contemporary Wood/Metal Frame"/>
    <n v="96.96"/>
    <n v="6"/>
    <n v="33.936"/>
    <x v="4"/>
    <x v="0"/>
  </r>
  <r>
    <s v="CA-2015-168207"/>
    <x v="46"/>
    <d v="2015-11-06T00:00:00"/>
    <x v="1"/>
    <s v="LT-17110"/>
    <s v="Liz Thompson"/>
    <x v="0"/>
    <s v="United States"/>
    <x v="53"/>
    <x v="2"/>
    <x v="1"/>
    <s v="FUR-BO-10004357"/>
    <s v="Furniture"/>
    <x v="0"/>
    <s v="O'Sullivan Living Dimensions 3-Shelf Bookcases"/>
    <n v="512.49900000000002"/>
    <n v="3"/>
    <n v="-30.146999999999998"/>
    <x v="4"/>
    <x v="0"/>
  </r>
  <r>
    <s v="CA-2016-144148"/>
    <x v="581"/>
    <d v="2016-08-05T00:00:00"/>
    <x v="1"/>
    <s v="AH-10690"/>
    <s v="Anna HŠberlin"/>
    <x v="1"/>
    <s v="United States"/>
    <x v="28"/>
    <x v="2"/>
    <x v="1"/>
    <s v="FUR-TA-10002774"/>
    <s v="Furniture"/>
    <x v="2"/>
    <s v="Laminate Occasional Tables"/>
    <n v="863.12800000000004"/>
    <n v="7"/>
    <n v="-32.3673"/>
    <x v="2"/>
    <x v="3"/>
  </r>
  <r>
    <s v="CA-2017-107174"/>
    <x v="200"/>
    <d v="2017-11-13T00:00:00"/>
    <x v="1"/>
    <s v="AB-10060"/>
    <s v="Adam Bellavance"/>
    <x v="2"/>
    <s v="United States"/>
    <x v="15"/>
    <x v="13"/>
    <x v="1"/>
    <s v="FUR-TA-10004575"/>
    <s v="Furniture"/>
    <x v="2"/>
    <s v="Hon 5100 Series Wood Tables"/>
    <n v="2036.86"/>
    <n v="7"/>
    <n v="366.63479999999998"/>
    <x v="1"/>
    <x v="0"/>
  </r>
  <r>
    <s v="CA-2017-107174"/>
    <x v="200"/>
    <d v="2017-11-13T00:00:00"/>
    <x v="1"/>
    <s v="AB-10060"/>
    <s v="Adam Bellavance"/>
    <x v="2"/>
    <s v="United States"/>
    <x v="15"/>
    <x v="13"/>
    <x v="1"/>
    <s v="FUR-CH-10003312"/>
    <s v="Furniture"/>
    <x v="1"/>
    <s v="Hon 2090 ÒPillow SoftÓ Series Mid Back Swivel/Tilt Chairs"/>
    <n v="449.56799999999998"/>
    <n v="2"/>
    <n v="-73.0548"/>
    <x v="1"/>
    <x v="0"/>
  </r>
  <r>
    <s v="CA-2015-112767"/>
    <x v="601"/>
    <d v="2015-08-06T00:00:00"/>
    <x v="1"/>
    <s v="DK-12985"/>
    <s v="Darren Koutras"/>
    <x v="0"/>
    <s v="United States"/>
    <x v="76"/>
    <x v="36"/>
    <x v="1"/>
    <s v="FUR-TA-10003469"/>
    <s v="Furniture"/>
    <x v="2"/>
    <s v="Balt Split Level Computer Training Table"/>
    <n v="277.5"/>
    <n v="4"/>
    <n v="-188.7"/>
    <x v="4"/>
    <x v="10"/>
  </r>
  <r>
    <s v="CA-2015-119879"/>
    <x v="32"/>
    <d v="2015-11-25T00:00:00"/>
    <x v="1"/>
    <s v="SS-20410"/>
    <s v="Shahid Shariari"/>
    <x v="0"/>
    <s v="United States"/>
    <x v="3"/>
    <x v="3"/>
    <x v="2"/>
    <s v="FUR-TA-10002958"/>
    <s v="Furniture"/>
    <x v="2"/>
    <s v="Bevis Oval Conference Table, Walnut"/>
    <n v="1252.704"/>
    <n v="8"/>
    <n v="-480.20319999999998"/>
    <x v="4"/>
    <x v="0"/>
  </r>
  <r>
    <s v="CA-2017-155642"/>
    <x v="514"/>
    <d v="2017-05-22T00:00:00"/>
    <x v="1"/>
    <s v="BM-11575"/>
    <s v="Brendan Murry"/>
    <x v="1"/>
    <s v="United States"/>
    <x v="9"/>
    <x v="8"/>
    <x v="3"/>
    <s v="FUR-FU-10004973"/>
    <s v="Furniture"/>
    <x v="3"/>
    <s v="Flat Face Poster Frame"/>
    <n v="22.608000000000001"/>
    <n v="3"/>
    <n v="-10.1736"/>
    <x v="4"/>
    <x v="7"/>
  </r>
  <r>
    <s v="CA-2017-155642"/>
    <x v="514"/>
    <d v="2017-05-22T00:00:00"/>
    <x v="1"/>
    <s v="BM-11575"/>
    <s v="Brendan Murry"/>
    <x v="1"/>
    <s v="United States"/>
    <x v="9"/>
    <x v="8"/>
    <x v="3"/>
    <s v="FUR-FU-10001918"/>
    <s v="Furniture"/>
    <x v="3"/>
    <s v="C-Line Cubicle Keepers Polyproplyene Holder With Velcro Backings"/>
    <n v="1.8919999999999999"/>
    <n v="1"/>
    <n v="-0.99329999999999996"/>
    <x v="4"/>
    <x v="7"/>
  </r>
  <r>
    <s v="CA-2015-136728"/>
    <x v="615"/>
    <d v="2015-09-17T00:00:00"/>
    <x v="0"/>
    <s v="AG-10900"/>
    <s v="Arthur Gainer"/>
    <x v="0"/>
    <s v="United States"/>
    <x v="9"/>
    <x v="8"/>
    <x v="3"/>
    <s v="FUR-CH-10003817"/>
    <s v="Furniture"/>
    <x v="1"/>
    <s v="Global Value Steno Chair, Gray"/>
    <n v="170.072"/>
    <n v="4"/>
    <n v="-12.148"/>
    <x v="4"/>
    <x v="4"/>
  </r>
  <r>
    <s v="US-2017-155866"/>
    <x v="429"/>
    <d v="2017-11-21T00:00:00"/>
    <x v="1"/>
    <s v="CC-12370"/>
    <s v="Christopher Conant"/>
    <x v="0"/>
    <s v="United States"/>
    <x v="13"/>
    <x v="7"/>
    <x v="2"/>
    <s v="FUR-FU-10004091"/>
    <s v="Furniture"/>
    <x v="3"/>
    <s v="Howard Miller 13&quot; Diameter Goldtone Round Wall Clock"/>
    <n v="187.76"/>
    <n v="4"/>
    <n v="76.9816"/>
    <x v="4"/>
    <x v="0"/>
  </r>
  <r>
    <s v="CA-2015-141327"/>
    <x v="737"/>
    <d v="2015-12-03T00:00:00"/>
    <x v="2"/>
    <s v="LR-16915"/>
    <s v="Lena Radford"/>
    <x v="0"/>
    <s v="United States"/>
    <x v="339"/>
    <x v="30"/>
    <x v="0"/>
    <s v="FUR-FU-10000576"/>
    <s v="Furniture"/>
    <x v="3"/>
    <s v="Luxo Professional Fluorescent Magnifier Lamp with Clamp-Mount Base"/>
    <n v="335.74400000000003"/>
    <n v="2"/>
    <n v="25.180800000000001"/>
    <x v="0"/>
    <x v="0"/>
  </r>
  <r>
    <s v="CA-2015-114811"/>
    <x v="428"/>
    <d v="2015-11-08T00:00:00"/>
    <x v="3"/>
    <s v="KD-16495"/>
    <s v="Keith Dawkins"/>
    <x v="1"/>
    <s v="United States"/>
    <x v="13"/>
    <x v="7"/>
    <x v="2"/>
    <s v="FUR-FU-10002240"/>
    <s v="Furniture"/>
    <x v="3"/>
    <s v="Nu-Dell EZ-Mount Plastic Wall Frames"/>
    <n v="11.82"/>
    <n v="3"/>
    <n v="4.7279999999999998"/>
    <x v="7"/>
    <x v="0"/>
  </r>
  <r>
    <s v="CA-2015-114811"/>
    <x v="428"/>
    <d v="2015-11-08T00:00:00"/>
    <x v="3"/>
    <s v="KD-16495"/>
    <s v="Keith Dawkins"/>
    <x v="1"/>
    <s v="United States"/>
    <x v="13"/>
    <x v="7"/>
    <x v="2"/>
    <s v="FUR-CH-10003746"/>
    <s v="Furniture"/>
    <x v="1"/>
    <s v="Hon 4070 Series Pagoda Round Back Stacking Chairs"/>
    <n v="577.76400000000001"/>
    <n v="2"/>
    <n v="115.5528"/>
    <x v="7"/>
    <x v="0"/>
  </r>
  <r>
    <s v="CA-2015-122266"/>
    <x v="12"/>
    <d v="2015-04-30T00:00:00"/>
    <x v="1"/>
    <s v="SA-20830"/>
    <s v="Sue Ann Reed"/>
    <x v="0"/>
    <s v="United States"/>
    <x v="340"/>
    <x v="1"/>
    <x v="0"/>
    <s v="FUR-TA-10000577"/>
    <s v="Furniture"/>
    <x v="2"/>
    <s v="Bretford CR4500 Series Slim Rectangular Table"/>
    <n v="191.5155"/>
    <n v="1"/>
    <n v="-76.606200000000001"/>
    <x v="4"/>
    <x v="6"/>
  </r>
  <r>
    <s v="CA-2016-116337"/>
    <x v="267"/>
    <d v="2016-11-12T00:00:00"/>
    <x v="1"/>
    <s v="MC-17845"/>
    <s v="Michael Chen"/>
    <x v="0"/>
    <s v="United States"/>
    <x v="144"/>
    <x v="5"/>
    <x v="3"/>
    <s v="FUR-FU-10002030"/>
    <s v="Furniture"/>
    <x v="3"/>
    <s v="Executive Impressions 14&quot; Contract Wall Clock with Quartz Movement"/>
    <n v="44.46"/>
    <n v="5"/>
    <n v="-17.783999999999999"/>
    <x v="2"/>
    <x v="0"/>
  </r>
  <r>
    <s v="CA-2014-120775"/>
    <x v="215"/>
    <d v="2014-10-07T00:00:00"/>
    <x v="1"/>
    <s v="RD-19930"/>
    <s v="Russell D'Ascenzo"/>
    <x v="0"/>
    <s v="United States"/>
    <x v="144"/>
    <x v="5"/>
    <x v="3"/>
    <s v="FUR-FU-10000758"/>
    <s v="Furniture"/>
    <x v="3"/>
    <s v="DAX Natural Wood-Tone Poster Frame"/>
    <n v="31.776"/>
    <n v="3"/>
    <n v="-19.0656"/>
    <x v="4"/>
    <x v="1"/>
  </r>
  <r>
    <s v="CA-2016-123050"/>
    <x v="804"/>
    <d v="2016-04-08T00:00:00"/>
    <x v="0"/>
    <s v="BC-11125"/>
    <s v="Becky Castell"/>
    <x v="2"/>
    <s v="United States"/>
    <x v="8"/>
    <x v="7"/>
    <x v="2"/>
    <s v="FUR-FU-10000723"/>
    <s v="Furniture"/>
    <x v="3"/>
    <s v="Deflect-o EconoMat Studded, No Bevel Mat for Low Pile Carpeting"/>
    <n v="82.64"/>
    <n v="2"/>
    <n v="7.4375999999999998"/>
    <x v="4"/>
    <x v="6"/>
  </r>
  <r>
    <s v="CA-2016-162355"/>
    <x v="805"/>
    <d v="2016-07-02T00:00:00"/>
    <x v="0"/>
    <s v="PF-19165"/>
    <s v="Philip Fox"/>
    <x v="0"/>
    <s v="United States"/>
    <x v="244"/>
    <x v="24"/>
    <x v="0"/>
    <s v="FUR-BO-10004695"/>
    <s v="Furniture"/>
    <x v="0"/>
    <s v="O'Sullivan 2-Door Barrister Bookcase in Odessa Pine"/>
    <n v="1266.8599999999999"/>
    <n v="7"/>
    <n v="291.37779999999998"/>
    <x v="3"/>
    <x v="2"/>
  </r>
  <r>
    <s v="CA-2017-102204"/>
    <x v="806"/>
    <d v="2017-05-06T00:00:00"/>
    <x v="1"/>
    <s v="CJ-12010"/>
    <s v="Caroline Jumper"/>
    <x v="0"/>
    <s v="United States"/>
    <x v="51"/>
    <x v="1"/>
    <x v="0"/>
    <s v="FUR-TA-10001889"/>
    <s v="Furniture"/>
    <x v="2"/>
    <s v="Bush Advantage Collection Racetrack Conference Table"/>
    <n v="933.26199999999994"/>
    <n v="4"/>
    <n v="-458.14679999999998"/>
    <x v="2"/>
    <x v="7"/>
  </r>
  <r>
    <s v="CA-2017-102204"/>
    <x v="806"/>
    <d v="2017-05-06T00:00:00"/>
    <x v="1"/>
    <s v="CJ-12010"/>
    <s v="Caroline Jumper"/>
    <x v="0"/>
    <s v="United States"/>
    <x v="51"/>
    <x v="1"/>
    <x v="0"/>
    <s v="FUR-CH-10002024"/>
    <s v="Furniture"/>
    <x v="1"/>
    <s v="HON 5400 Series Task Chairs for Big and Tall"/>
    <n v="2803.92"/>
    <n v="5"/>
    <n v="0"/>
    <x v="2"/>
    <x v="7"/>
  </r>
  <r>
    <s v="CA-2017-103065"/>
    <x v="71"/>
    <d v="2017-10-20T00:00:00"/>
    <x v="3"/>
    <s v="PT-19090"/>
    <s v="Pete Takahito"/>
    <x v="0"/>
    <s v="United States"/>
    <x v="51"/>
    <x v="1"/>
    <x v="0"/>
    <s v="FUR-FU-10000175"/>
    <s v="Furniture"/>
    <x v="3"/>
    <s v="DAX Wood Document Frame."/>
    <n v="43.936"/>
    <n v="4"/>
    <n v="6.0411999999999999"/>
    <x v="7"/>
    <x v="1"/>
  </r>
  <r>
    <s v="CA-2014-109897"/>
    <x v="807"/>
    <d v="2014-08-16T00:00:00"/>
    <x v="1"/>
    <s v="BW-11200"/>
    <s v="Ben Wallace"/>
    <x v="0"/>
    <s v="United States"/>
    <x v="28"/>
    <x v="2"/>
    <x v="1"/>
    <s v="FUR-FU-10002878"/>
    <s v="Furniture"/>
    <x v="3"/>
    <s v="Seth Thomas 14&quot; Day/Date Wall Clock"/>
    <n v="85.44"/>
    <n v="3"/>
    <n v="31.6128"/>
    <x v="4"/>
    <x v="10"/>
  </r>
  <r>
    <s v="CA-2015-140221"/>
    <x v="298"/>
    <d v="2015-03-09T00:00:00"/>
    <x v="0"/>
    <s v="MS-17365"/>
    <s v="Maribeth Schnelling"/>
    <x v="0"/>
    <s v="United States"/>
    <x v="9"/>
    <x v="8"/>
    <x v="3"/>
    <s v="FUR-FU-10000023"/>
    <s v="Furniture"/>
    <x v="3"/>
    <s v="Eldon Wave Desk Accessories"/>
    <n v="4.7119999999999997"/>
    <n v="2"/>
    <n v="-1.8848"/>
    <x v="4"/>
    <x v="9"/>
  </r>
  <r>
    <s v="CA-2017-121790"/>
    <x v="129"/>
    <d v="2017-02-06T00:00:00"/>
    <x v="1"/>
    <s v="LP-17095"/>
    <s v="Liz Preis"/>
    <x v="0"/>
    <s v="United States"/>
    <x v="14"/>
    <x v="8"/>
    <x v="3"/>
    <s v="FUR-TA-10003469"/>
    <s v="Furniture"/>
    <x v="2"/>
    <s v="Balt Split Level Computer Training Table"/>
    <n v="69.375"/>
    <n v="1"/>
    <n v="-47.174999999999997"/>
    <x v="1"/>
    <x v="8"/>
  </r>
  <r>
    <s v="CA-2016-169670"/>
    <x v="683"/>
    <d v="2016-12-31T00:00:00"/>
    <x v="1"/>
    <s v="JE-15715"/>
    <s v="Joe Elijah"/>
    <x v="0"/>
    <s v="United States"/>
    <x v="13"/>
    <x v="7"/>
    <x v="2"/>
    <s v="FUR-CH-10002331"/>
    <s v="Furniture"/>
    <x v="1"/>
    <s v="Hon 4700 Series Mobuis Mid-Back Task Chairs with Adjustable Arms"/>
    <n v="2563.056"/>
    <n v="8"/>
    <n v="313.26240000000001"/>
    <x v="6"/>
    <x v="5"/>
  </r>
  <r>
    <s v="CA-2016-139549"/>
    <x v="697"/>
    <d v="2016-10-25T00:00:00"/>
    <x v="1"/>
    <s v="MY-18295"/>
    <s v="Muhammed Yedwab"/>
    <x v="1"/>
    <s v="United States"/>
    <x v="311"/>
    <x v="2"/>
    <x v="1"/>
    <s v="FUR-CH-10001802"/>
    <s v="Furniture"/>
    <x v="1"/>
    <s v="Hon Every-Day Chair Series Swivel Task Chairs"/>
    <n v="387.13600000000002"/>
    <n v="4"/>
    <n v="4.8391999999999999"/>
    <x v="2"/>
    <x v="1"/>
  </r>
  <r>
    <s v="CA-2017-134810"/>
    <x v="808"/>
    <d v="2017-05-10T00:00:00"/>
    <x v="2"/>
    <s v="MC-17605"/>
    <s v="Matt Connell"/>
    <x v="1"/>
    <s v="United States"/>
    <x v="51"/>
    <x v="30"/>
    <x v="0"/>
    <s v="FUR-CH-10001270"/>
    <s v="Furniture"/>
    <x v="1"/>
    <s v="Harbour Creations Steel Folding Chair"/>
    <n v="207"/>
    <n v="3"/>
    <n v="25.875"/>
    <x v="5"/>
    <x v="7"/>
  </r>
  <r>
    <s v="CA-2015-154284"/>
    <x v="170"/>
    <d v="2015-12-26T00:00:00"/>
    <x v="0"/>
    <s v="SZ-20035"/>
    <s v="Sam Zeldin"/>
    <x v="2"/>
    <s v="United States"/>
    <x v="317"/>
    <x v="8"/>
    <x v="3"/>
    <s v="FUR-FU-10003039"/>
    <s v="Furniture"/>
    <x v="3"/>
    <s v="Howard Miller 11-1/2&quot; Diameter Grantwood Wall Clock"/>
    <n v="51.756"/>
    <n v="3"/>
    <n v="-33.641399999999997"/>
    <x v="2"/>
    <x v="5"/>
  </r>
  <r>
    <s v="US-2015-158911"/>
    <x v="379"/>
    <d v="2015-07-11T00:00:00"/>
    <x v="1"/>
    <s v="RS-19765"/>
    <s v="Roland Schwarz"/>
    <x v="1"/>
    <s v="United States"/>
    <x v="127"/>
    <x v="30"/>
    <x v="0"/>
    <s v="FUR-FU-10003829"/>
    <s v="Furniture"/>
    <x v="3"/>
    <s v="Stackable Trays"/>
    <n v="4.9279999999999999"/>
    <n v="2"/>
    <n v="0.73919999999999997"/>
    <x v="6"/>
    <x v="3"/>
  </r>
  <r>
    <s v="US-2017-167318"/>
    <x v="809"/>
    <d v="2017-08-01T00:00:00"/>
    <x v="1"/>
    <s v="GZ-14545"/>
    <s v="George Zrebassa"/>
    <x v="1"/>
    <s v="United States"/>
    <x v="2"/>
    <x v="2"/>
    <x v="1"/>
    <s v="FUR-CH-10000665"/>
    <s v="Furniture"/>
    <x v="1"/>
    <s v="Global Airflow Leather Mesh Back Chair, Black"/>
    <n v="362.35199999999998"/>
    <n v="3"/>
    <n v="45.293999999999997"/>
    <x v="6"/>
    <x v="3"/>
  </r>
  <r>
    <s v="CA-2017-135419"/>
    <x v="54"/>
    <d v="2017-11-09T00:00:00"/>
    <x v="1"/>
    <s v="BG-11740"/>
    <s v="Bruce Geld"/>
    <x v="0"/>
    <s v="United States"/>
    <x v="175"/>
    <x v="2"/>
    <x v="1"/>
    <s v="FUR-TA-10001086"/>
    <s v="Furniture"/>
    <x v="2"/>
    <s v="SAFCO PlanMaster Boards, 60w x 37-1/2d, White Melamine"/>
    <n v="486.36799999999999"/>
    <n v="4"/>
    <n v="36.477600000000002"/>
    <x v="6"/>
    <x v="0"/>
  </r>
  <r>
    <s v="CA-2014-168312"/>
    <x v="29"/>
    <d v="2014-03-07T00:00:00"/>
    <x v="1"/>
    <s v="GW-14605"/>
    <s v="Giulietta Weimer"/>
    <x v="0"/>
    <s v="United States"/>
    <x v="6"/>
    <x v="5"/>
    <x v="3"/>
    <s v="FUR-TA-10001866"/>
    <s v="Furniture"/>
    <x v="2"/>
    <s v="Bevis Round Conference Room Tables and Bases"/>
    <n v="376.50900000000001"/>
    <n v="3"/>
    <n v="-43.029600000000002"/>
    <x v="6"/>
    <x v="9"/>
  </r>
  <r>
    <s v="US-2017-105935"/>
    <x v="810"/>
    <d v="2017-01-31T00:00:00"/>
    <x v="1"/>
    <s v="BD-11500"/>
    <s v="Bradley Drucker"/>
    <x v="0"/>
    <s v="United States"/>
    <x v="29"/>
    <x v="24"/>
    <x v="0"/>
    <s v="FUR-FU-10002157"/>
    <s v="Furniture"/>
    <x v="3"/>
    <s v="Artistic Insta-Plaque"/>
    <n v="62.72"/>
    <n v="4"/>
    <n v="24.460799999999999"/>
    <x v="2"/>
    <x v="8"/>
  </r>
  <r>
    <s v="CA-2014-161508"/>
    <x v="56"/>
    <d v="2014-07-16T00:00:00"/>
    <x v="1"/>
    <s v="PV-18985"/>
    <s v="Paul Van Hugh"/>
    <x v="2"/>
    <s v="United States"/>
    <x v="256"/>
    <x v="5"/>
    <x v="3"/>
    <s v="FUR-CH-10002126"/>
    <s v="Furniture"/>
    <x v="1"/>
    <s v="Hon Deluxe Fabric Upholstered Stacking Chairs"/>
    <n v="512.35799999999995"/>
    <n v="3"/>
    <n v="-14.6388"/>
    <x v="4"/>
    <x v="3"/>
  </r>
  <r>
    <s v="CA-2016-153269"/>
    <x v="811"/>
    <d v="2016-03-12T00:00:00"/>
    <x v="2"/>
    <s v="PS-18760"/>
    <s v="Pamela Stobb"/>
    <x v="0"/>
    <s v="United States"/>
    <x v="341"/>
    <x v="20"/>
    <x v="2"/>
    <s v="FUR-CH-10002647"/>
    <s v="Furniture"/>
    <x v="1"/>
    <s v="Situations Contoured Folding Chairs, 4/Set"/>
    <n v="354.9"/>
    <n v="5"/>
    <n v="88.724999999999994"/>
    <x v="0"/>
    <x v="9"/>
  </r>
  <r>
    <s v="CA-2017-135076"/>
    <x v="812"/>
    <d v="2017-04-17T00:00:00"/>
    <x v="1"/>
    <s v="YS-21880"/>
    <s v="Yana Sorensen"/>
    <x v="1"/>
    <s v="United States"/>
    <x v="170"/>
    <x v="2"/>
    <x v="1"/>
    <s v="FUR-CH-10003774"/>
    <s v="Furniture"/>
    <x v="1"/>
    <s v="Global Wood Trimmed Manager's Task Chair, Khaki"/>
    <n v="436.70400000000001"/>
    <n v="6"/>
    <n v="-38.211599999999997"/>
    <x v="4"/>
    <x v="6"/>
  </r>
  <r>
    <s v="US-2014-155544"/>
    <x v="813"/>
    <d v="2014-03-25T00:00:00"/>
    <x v="1"/>
    <s v="GM-14440"/>
    <s v="Gary McGarr"/>
    <x v="0"/>
    <s v="United States"/>
    <x v="270"/>
    <x v="9"/>
    <x v="0"/>
    <s v="FUR-FU-10001473"/>
    <s v="Furniture"/>
    <x v="3"/>
    <s v="DAX Wood Document Frame"/>
    <n v="32.951999999999998"/>
    <n v="3"/>
    <n v="6.5903999999999998"/>
    <x v="4"/>
    <x v="9"/>
  </r>
  <r>
    <s v="US-2014-155544"/>
    <x v="813"/>
    <d v="2014-03-25T00:00:00"/>
    <x v="1"/>
    <s v="GM-14440"/>
    <s v="Gary McGarr"/>
    <x v="0"/>
    <s v="United States"/>
    <x v="270"/>
    <x v="9"/>
    <x v="0"/>
    <s v="FUR-CH-10000422"/>
    <s v="Furniture"/>
    <x v="1"/>
    <s v="Global Highback Leather Tilter in Burgundy"/>
    <n v="218.376"/>
    <n v="3"/>
    <n v="-10.918799999999999"/>
    <x v="4"/>
    <x v="9"/>
  </r>
  <r>
    <s v="US-2015-115238"/>
    <x v="11"/>
    <d v="2015-05-04T00:00:00"/>
    <x v="1"/>
    <s v="JW-15220"/>
    <s v="Jane Waco"/>
    <x v="1"/>
    <s v="United States"/>
    <x v="37"/>
    <x v="20"/>
    <x v="2"/>
    <s v="FUR-FU-10002960"/>
    <s v="Furniture"/>
    <x v="3"/>
    <s v="Eldon 200 Class Desk Accessories, Burgundy"/>
    <n v="31.4"/>
    <n v="5"/>
    <n v="13.188000000000001"/>
    <x v="4"/>
    <x v="6"/>
  </r>
  <r>
    <s v="US-2015-115238"/>
    <x v="11"/>
    <d v="2015-05-04T00:00:00"/>
    <x v="1"/>
    <s v="JW-15220"/>
    <s v="Jane Waco"/>
    <x v="1"/>
    <s v="United States"/>
    <x v="37"/>
    <x v="20"/>
    <x v="2"/>
    <s v="FUR-FU-10002445"/>
    <s v="Furniture"/>
    <x v="3"/>
    <s v="DAX Two-Tone Rosewood/Black Document Frame, Desktop, 5 x 7"/>
    <n v="9.48"/>
    <n v="1"/>
    <n v="3.7919999999999998"/>
    <x v="4"/>
    <x v="6"/>
  </r>
  <r>
    <s v="US-2015-115238"/>
    <x v="11"/>
    <d v="2015-05-04T00:00:00"/>
    <x v="1"/>
    <s v="JW-15220"/>
    <s v="Jane Waco"/>
    <x v="1"/>
    <s v="United States"/>
    <x v="37"/>
    <x v="20"/>
    <x v="2"/>
    <s v="FUR-FU-10001025"/>
    <s v="Furniture"/>
    <x v="3"/>
    <s v="Eldon Imˆge Series Desk Accessories, Clear"/>
    <n v="24.3"/>
    <n v="5"/>
    <n v="10.449"/>
    <x v="4"/>
    <x v="6"/>
  </r>
  <r>
    <s v="CA-2017-132199"/>
    <x v="814"/>
    <d v="2017-05-08T00:00:00"/>
    <x v="1"/>
    <s v="BO-11350"/>
    <s v="Bill Overfelt"/>
    <x v="1"/>
    <s v="United States"/>
    <x v="3"/>
    <x v="3"/>
    <x v="2"/>
    <s v="FUR-FU-10004245"/>
    <s v="Furniture"/>
    <x v="3"/>
    <s v="Career Cubicle Clock, 8 1/4&quot;, Black"/>
    <n v="32.448"/>
    <n v="2"/>
    <n v="7.3007999999999997"/>
    <x v="2"/>
    <x v="7"/>
  </r>
  <r>
    <s v="CA-2017-132199"/>
    <x v="814"/>
    <d v="2017-05-08T00:00:00"/>
    <x v="1"/>
    <s v="BO-11350"/>
    <s v="Bill Overfelt"/>
    <x v="1"/>
    <s v="United States"/>
    <x v="3"/>
    <x v="3"/>
    <x v="2"/>
    <s v="FUR-TA-10003748"/>
    <s v="Furniture"/>
    <x v="2"/>
    <s v="Bevis 36 x 72 Conference Tables"/>
    <n v="373.47"/>
    <n v="5"/>
    <n v="-112.041"/>
    <x v="2"/>
    <x v="7"/>
  </r>
  <r>
    <s v="CA-2016-163174"/>
    <x v="238"/>
    <d v="2016-08-30T00:00:00"/>
    <x v="1"/>
    <s v="XP-21865"/>
    <s v="Xylona Preis"/>
    <x v="0"/>
    <s v="United States"/>
    <x v="342"/>
    <x v="24"/>
    <x v="0"/>
    <s v="FUR-FU-10000308"/>
    <s v="Furniture"/>
    <x v="3"/>
    <s v="Deflect-o Glass Clear Studded Chair Mats"/>
    <n v="186.54"/>
    <n v="3"/>
    <n v="41.038800000000002"/>
    <x v="4"/>
    <x v="10"/>
  </r>
  <r>
    <s v="CA-2017-147207"/>
    <x v="815"/>
    <d v="2017-01-04T00:00:00"/>
    <x v="0"/>
    <s v="TS-21655"/>
    <s v="Trudy Schmidt"/>
    <x v="0"/>
    <s v="United States"/>
    <x v="116"/>
    <x v="5"/>
    <x v="3"/>
    <s v="FUR-TA-10002958"/>
    <s v="Furniture"/>
    <x v="2"/>
    <s v="Bevis Oval Conference Table, Walnut"/>
    <n v="913.43"/>
    <n v="5"/>
    <n v="-169.637"/>
    <x v="3"/>
    <x v="8"/>
  </r>
  <r>
    <s v="CA-2016-118745"/>
    <x v="354"/>
    <d v="2016-06-16T00:00:00"/>
    <x v="1"/>
    <s v="SV-20365"/>
    <s v="Seth Vernon"/>
    <x v="0"/>
    <s v="United States"/>
    <x v="2"/>
    <x v="2"/>
    <x v="1"/>
    <s v="FUR-TA-10003473"/>
    <s v="Furniture"/>
    <x v="2"/>
    <s v="Bretford Rectangular Conference Table Tops"/>
    <n v="902.71199999999999"/>
    <n v="3"/>
    <n v="33.851700000000001"/>
    <x v="2"/>
    <x v="2"/>
  </r>
  <r>
    <s v="CA-2016-163972"/>
    <x v="816"/>
    <d v="2016-10-21T00:00:00"/>
    <x v="1"/>
    <s v="MG-17890"/>
    <s v="Michael Granlund"/>
    <x v="2"/>
    <s v="United States"/>
    <x v="99"/>
    <x v="2"/>
    <x v="1"/>
    <s v="FUR-BO-10003894"/>
    <s v="Furniture"/>
    <x v="0"/>
    <s v="Safco Value Mate Steel Bookcase, Baked Enamel Finish on Steel, Black"/>
    <n v="120.666"/>
    <n v="2"/>
    <n v="21.294"/>
    <x v="4"/>
    <x v="1"/>
  </r>
  <r>
    <s v="CA-2016-113726"/>
    <x v="243"/>
    <d v="2016-12-01T00:00:00"/>
    <x v="1"/>
    <s v="SC-20680"/>
    <s v="Steve Carroll"/>
    <x v="2"/>
    <s v="United States"/>
    <x v="15"/>
    <x v="13"/>
    <x v="1"/>
    <s v="FUR-FU-10003535"/>
    <s v="Furniture"/>
    <x v="3"/>
    <s v="Howard Miller Distant Time Traveler Alarm Clock"/>
    <n v="82.26"/>
    <n v="3"/>
    <n v="33.726599999999998"/>
    <x v="1"/>
    <x v="0"/>
  </r>
  <r>
    <s v="CA-2016-163048"/>
    <x v="817"/>
    <d v="2016-02-15T00:00:00"/>
    <x v="1"/>
    <s v="MH-17440"/>
    <s v="Mark Haberlin"/>
    <x v="1"/>
    <s v="United States"/>
    <x v="6"/>
    <x v="5"/>
    <x v="3"/>
    <s v="FUR-CH-10001270"/>
    <s v="Furniture"/>
    <x v="1"/>
    <s v="Harbour Creations Steel Folding Chair"/>
    <n v="241.5"/>
    <n v="4"/>
    <n v="0"/>
    <x v="1"/>
    <x v="11"/>
  </r>
  <r>
    <s v="CA-2017-110625"/>
    <x v="340"/>
    <d v="2017-12-30T00:00:00"/>
    <x v="1"/>
    <s v="JB-16045"/>
    <s v="Julia Barnett"/>
    <x v="2"/>
    <s v="United States"/>
    <x v="343"/>
    <x v="19"/>
    <x v="2"/>
    <s v="FUR-FU-10001473"/>
    <s v="Furniture"/>
    <x v="3"/>
    <s v="DAX Wood Document Frame"/>
    <n v="27.46"/>
    <n v="2"/>
    <n v="9.8856000000000002"/>
    <x v="1"/>
    <x v="5"/>
  </r>
  <r>
    <s v="CA-2016-142594"/>
    <x v="193"/>
    <d v="2016-12-06T00:00:00"/>
    <x v="0"/>
    <s v="EJ-14155"/>
    <s v="Eva Jacobs"/>
    <x v="0"/>
    <s v="United States"/>
    <x v="20"/>
    <x v="20"/>
    <x v="2"/>
    <s v="FUR-FU-10002045"/>
    <s v="Furniture"/>
    <x v="3"/>
    <s v="Executive Impressions 14&quot;"/>
    <n v="111.15"/>
    <n v="5"/>
    <n v="48.905999999999999"/>
    <x v="2"/>
    <x v="5"/>
  </r>
  <r>
    <s v="CA-2016-142594"/>
    <x v="193"/>
    <d v="2016-12-06T00:00:00"/>
    <x v="0"/>
    <s v="EJ-14155"/>
    <s v="Eva Jacobs"/>
    <x v="0"/>
    <s v="United States"/>
    <x v="20"/>
    <x v="20"/>
    <x v="2"/>
    <s v="FUR-TA-10001095"/>
    <s v="Furniture"/>
    <x v="2"/>
    <s v="Chromcraft Round Conference Tables"/>
    <n v="366.00900000000001"/>
    <n v="3"/>
    <n v="-47.058300000000003"/>
    <x v="2"/>
    <x v="5"/>
  </r>
  <r>
    <s v="CA-2017-120061"/>
    <x v="575"/>
    <d v="2017-11-07T00:00:00"/>
    <x v="0"/>
    <s v="SR-20425"/>
    <s v="Sharelle Roach"/>
    <x v="2"/>
    <s v="United States"/>
    <x v="76"/>
    <x v="15"/>
    <x v="2"/>
    <s v="FUR-CH-10001973"/>
    <s v="Furniture"/>
    <x v="1"/>
    <s v="Office Star Flex Back Scooter Chair with White Frame"/>
    <n v="155.37200000000001"/>
    <n v="2"/>
    <n v="-35.513599999999997"/>
    <x v="2"/>
    <x v="0"/>
  </r>
  <r>
    <s v="CA-2015-110814"/>
    <x v="482"/>
    <d v="2015-12-09T00:00:00"/>
    <x v="0"/>
    <s v="BD-11635"/>
    <s v="Brian Derr"/>
    <x v="0"/>
    <s v="United States"/>
    <x v="13"/>
    <x v="7"/>
    <x v="2"/>
    <s v="FUR-CH-10003535"/>
    <s v="Furniture"/>
    <x v="1"/>
    <s v="Global Armless Task Chair, Royal Blue"/>
    <n v="164.64599999999999"/>
    <n v="3"/>
    <n v="12.8058"/>
    <x v="4"/>
    <x v="5"/>
  </r>
  <r>
    <s v="CA-2017-140480"/>
    <x v="220"/>
    <d v="2017-07-12T00:00:00"/>
    <x v="1"/>
    <s v="HE-14800"/>
    <s v="Harold Engle"/>
    <x v="1"/>
    <s v="United States"/>
    <x v="19"/>
    <x v="14"/>
    <x v="2"/>
    <s v="FUR-FU-10003247"/>
    <s v="Furniture"/>
    <x v="3"/>
    <s v="36X48 HARDFLOOR CHAIRMAT"/>
    <n v="83.92"/>
    <n v="4"/>
    <n v="5.8743999999999996"/>
    <x v="4"/>
    <x v="3"/>
  </r>
  <r>
    <s v="CA-2017-140480"/>
    <x v="220"/>
    <d v="2017-07-12T00:00:00"/>
    <x v="1"/>
    <s v="HE-14800"/>
    <s v="Harold Engle"/>
    <x v="1"/>
    <s v="United States"/>
    <x v="19"/>
    <x v="14"/>
    <x v="2"/>
    <s v="FUR-FU-10001057"/>
    <s v="Furniture"/>
    <x v="3"/>
    <s v="Tensor Track Tree Floor Lamp"/>
    <n v="39.979999999999997"/>
    <n v="2"/>
    <n v="9.1953999999999994"/>
    <x v="4"/>
    <x v="3"/>
  </r>
  <r>
    <s v="CA-2016-130820"/>
    <x v="818"/>
    <d v="2016-11-15T00:00:00"/>
    <x v="3"/>
    <s v="ON-18715"/>
    <s v="Odella Nelson"/>
    <x v="1"/>
    <s v="United States"/>
    <x v="259"/>
    <x v="30"/>
    <x v="0"/>
    <s v="FUR-TA-10001768"/>
    <s v="Furniture"/>
    <x v="2"/>
    <s v="Hon Racetrack Conference Tables"/>
    <n v="630.024"/>
    <n v="4"/>
    <n v="-199.5076"/>
    <x v="7"/>
    <x v="0"/>
  </r>
  <r>
    <s v="CA-2017-132290"/>
    <x v="203"/>
    <d v="2017-03-14T00:00:00"/>
    <x v="1"/>
    <s v="MD-17350"/>
    <s v="Maribeth Dona"/>
    <x v="0"/>
    <s v="United States"/>
    <x v="144"/>
    <x v="5"/>
    <x v="3"/>
    <s v="FUR-TA-10002228"/>
    <s v="Furniture"/>
    <x v="2"/>
    <s v="Bevis Traditional Conference Table Top, Plinth Base"/>
    <n v="933.40800000000002"/>
    <n v="4"/>
    <n v="-173.34719999999999"/>
    <x v="4"/>
    <x v="9"/>
  </r>
  <r>
    <s v="CA-2017-118199"/>
    <x v="808"/>
    <d v="2017-05-11T00:00:00"/>
    <x v="2"/>
    <s v="LB-16795"/>
    <s v="Laurel Beltran"/>
    <x v="2"/>
    <s v="United States"/>
    <x v="15"/>
    <x v="13"/>
    <x v="1"/>
    <s v="FUR-TA-10004154"/>
    <s v="Furniture"/>
    <x v="2"/>
    <s v="Riverside Furniture Oval Coffee Table, Oval End Table, End Table with Drawer"/>
    <n v="286.85000000000002"/>
    <n v="1"/>
    <n v="63.106999999999999"/>
    <x v="3"/>
    <x v="7"/>
  </r>
  <r>
    <s v="CA-2017-150091"/>
    <x v="176"/>
    <d v="2017-10-16T00:00:00"/>
    <x v="1"/>
    <s v="NP-18670"/>
    <s v="Nora Paige"/>
    <x v="0"/>
    <s v="United States"/>
    <x v="174"/>
    <x v="18"/>
    <x v="2"/>
    <s v="FUR-FU-10004053"/>
    <s v="Furniture"/>
    <x v="3"/>
    <s v="DAX Two-Tone Silver Metal Document Frame"/>
    <n v="40.479999999999997"/>
    <n v="2"/>
    <n v="17.406400000000001"/>
    <x v="4"/>
    <x v="1"/>
  </r>
  <r>
    <s v="CA-2017-150091"/>
    <x v="176"/>
    <d v="2017-10-16T00:00:00"/>
    <x v="1"/>
    <s v="NP-18670"/>
    <s v="Nora Paige"/>
    <x v="0"/>
    <s v="United States"/>
    <x v="174"/>
    <x v="18"/>
    <x v="2"/>
    <s v="FUR-BO-10003404"/>
    <s v="Furniture"/>
    <x v="0"/>
    <s v="Global Adaptabilites Bookcase, Cherry/Storm Gray Finish"/>
    <n v="2154.9"/>
    <n v="5"/>
    <n v="129.29400000000001"/>
    <x v="4"/>
    <x v="1"/>
  </r>
  <r>
    <s v="CA-2016-118129"/>
    <x v="645"/>
    <d v="2016-12-21T00:00:00"/>
    <x v="0"/>
    <s v="CL-12565"/>
    <s v="Clay Ludtke"/>
    <x v="0"/>
    <s v="United States"/>
    <x v="288"/>
    <x v="3"/>
    <x v="2"/>
    <s v="FUR-FU-10004904"/>
    <s v="Furniture"/>
    <x v="3"/>
    <s v="Eldon &quot;L&quot; Workstation Diamond Chairmat"/>
    <n v="303.92"/>
    <n v="5"/>
    <n v="-30.391999999999999"/>
    <x v="3"/>
    <x v="5"/>
  </r>
  <r>
    <s v="CA-2017-155621"/>
    <x v="819"/>
    <d v="2017-11-13T00:00:00"/>
    <x v="1"/>
    <s v="KN-16450"/>
    <s v="Kean Nguyen"/>
    <x v="1"/>
    <s v="United States"/>
    <x v="237"/>
    <x v="32"/>
    <x v="2"/>
    <s v="FUR-FU-10003535"/>
    <s v="Furniture"/>
    <x v="3"/>
    <s v="Howard Miller Distant Time Traveler Alarm Clock"/>
    <n v="274.2"/>
    <n v="10"/>
    <n v="112.422"/>
    <x v="2"/>
    <x v="0"/>
  </r>
  <r>
    <s v="US-2014-127635"/>
    <x v="94"/>
    <d v="2014-09-18T00:00:00"/>
    <x v="0"/>
    <s v="SC-20260"/>
    <s v="Scott Cohen"/>
    <x v="1"/>
    <s v="United States"/>
    <x v="177"/>
    <x v="5"/>
    <x v="3"/>
    <s v="FUR-FU-10000550"/>
    <s v="Furniture"/>
    <x v="3"/>
    <s v="Stacking Trays by OIC"/>
    <n v="9.9600000000000009"/>
    <n v="5"/>
    <n v="-6.7229999999999999"/>
    <x v="4"/>
    <x v="4"/>
  </r>
  <r>
    <s v="CA-2017-125451"/>
    <x v="409"/>
    <d v="2017-10-24T00:00:00"/>
    <x v="2"/>
    <s v="AH-10075"/>
    <s v="Adam Hart"/>
    <x v="1"/>
    <s v="United States"/>
    <x v="236"/>
    <x v="38"/>
    <x v="2"/>
    <s v="FUR-TA-10001039"/>
    <s v="Furniture"/>
    <x v="2"/>
    <s v="KI Adjustable-Height Table"/>
    <n v="240.744"/>
    <n v="4"/>
    <n v="-13.7568"/>
    <x v="5"/>
    <x v="1"/>
  </r>
  <r>
    <s v="CA-2017-125451"/>
    <x v="409"/>
    <d v="2017-10-24T00:00:00"/>
    <x v="2"/>
    <s v="AH-10075"/>
    <s v="Adam Hart"/>
    <x v="1"/>
    <s v="United States"/>
    <x v="236"/>
    <x v="38"/>
    <x v="2"/>
    <s v="FUR-FU-10004963"/>
    <s v="Furniture"/>
    <x v="3"/>
    <s v="Eldon 400 Class Desk Accessories, Black Carbon"/>
    <n v="35"/>
    <n v="4"/>
    <n v="14.7"/>
    <x v="5"/>
    <x v="1"/>
  </r>
  <r>
    <s v="CA-2017-125451"/>
    <x v="409"/>
    <d v="2017-10-24T00:00:00"/>
    <x v="2"/>
    <s v="AH-10075"/>
    <s v="Adam Hart"/>
    <x v="1"/>
    <s v="United States"/>
    <x v="236"/>
    <x v="38"/>
    <x v="2"/>
    <s v="FUR-FU-10000277"/>
    <s v="Furniture"/>
    <x v="3"/>
    <s v="Deflect-o DuraMat Antistatic Studded Beveled Mat for Medium Pile Carpeting"/>
    <n v="210.68"/>
    <n v="2"/>
    <n v="50.563200000000002"/>
    <x v="5"/>
    <x v="1"/>
  </r>
  <r>
    <s v="CA-2017-125451"/>
    <x v="409"/>
    <d v="2017-10-24T00:00:00"/>
    <x v="2"/>
    <s v="AH-10075"/>
    <s v="Adam Hart"/>
    <x v="1"/>
    <s v="United States"/>
    <x v="236"/>
    <x v="38"/>
    <x v="2"/>
    <s v="FUR-TA-10004915"/>
    <s v="Furniture"/>
    <x v="2"/>
    <s v="Office Impressions End Table, 20-1/2&quot;H x 24&quot;W x 20&quot;D"/>
    <n v="637.89599999999996"/>
    <n v="3"/>
    <n v="-127.5792"/>
    <x v="5"/>
    <x v="1"/>
  </r>
  <r>
    <s v="CA-2016-125087"/>
    <x v="820"/>
    <d v="2016-04-23T00:00:00"/>
    <x v="1"/>
    <s v="TH-21115"/>
    <s v="Thea Hudgings"/>
    <x v="1"/>
    <s v="United States"/>
    <x v="6"/>
    <x v="5"/>
    <x v="3"/>
    <s v="FUR-CH-10002880"/>
    <s v="Furniture"/>
    <x v="1"/>
    <s v="Global High-Back Leather Tilter, Burgundy"/>
    <n v="344.37200000000001"/>
    <n v="4"/>
    <n v="-93.472399999999993"/>
    <x v="2"/>
    <x v="6"/>
  </r>
  <r>
    <s v="CA-2016-125087"/>
    <x v="820"/>
    <d v="2016-04-23T00:00:00"/>
    <x v="1"/>
    <s v="TH-21115"/>
    <s v="Thea Hudgings"/>
    <x v="1"/>
    <s v="United States"/>
    <x v="6"/>
    <x v="5"/>
    <x v="3"/>
    <s v="FUR-FU-10004748"/>
    <s v="Furniture"/>
    <x v="3"/>
    <s v="Howard Miller 16&quot; Diameter Gallery Wall Clock"/>
    <n v="127.88"/>
    <n v="5"/>
    <n v="-67.137"/>
    <x v="2"/>
    <x v="6"/>
  </r>
  <r>
    <s v="US-2017-118556"/>
    <x v="15"/>
    <d v="2017-06-02T00:00:00"/>
    <x v="0"/>
    <s v="TH-21235"/>
    <s v="Tiffany House"/>
    <x v="1"/>
    <s v="United States"/>
    <x v="9"/>
    <x v="8"/>
    <x v="3"/>
    <s v="FUR-CH-10001146"/>
    <s v="Furniture"/>
    <x v="1"/>
    <s v="Global Task Chair, Black"/>
    <n v="106.869"/>
    <n v="3"/>
    <n v="-29.007300000000001"/>
    <x v="2"/>
    <x v="7"/>
  </r>
  <r>
    <s v="US-2016-164196"/>
    <x v="367"/>
    <d v="2016-11-17T00:00:00"/>
    <x v="1"/>
    <s v="AS-10285"/>
    <s v="Alejandro Savely"/>
    <x v="1"/>
    <s v="United States"/>
    <x v="344"/>
    <x v="6"/>
    <x v="3"/>
    <s v="FUR-TA-10001950"/>
    <s v="Furniture"/>
    <x v="2"/>
    <s v="Balt Solid Wood Round Tables"/>
    <n v="2678.94"/>
    <n v="6"/>
    <n v="241.1046"/>
    <x v="6"/>
    <x v="0"/>
  </r>
  <r>
    <s v="US-2017-132031"/>
    <x v="748"/>
    <d v="2017-04-27T00:00:00"/>
    <x v="1"/>
    <s v="PN-18775"/>
    <s v="Parhena Norris"/>
    <x v="2"/>
    <s v="United States"/>
    <x v="345"/>
    <x v="9"/>
    <x v="0"/>
    <s v="FUR-BO-10001972"/>
    <s v="Furniture"/>
    <x v="0"/>
    <s v="O'Sullivan 4-Shelf Bookcase in Odessa Pine"/>
    <n v="387.13600000000002"/>
    <n v="4"/>
    <n v="-14.5176"/>
    <x v="4"/>
    <x v="6"/>
  </r>
  <r>
    <s v="US-2017-132031"/>
    <x v="748"/>
    <d v="2017-04-27T00:00:00"/>
    <x v="1"/>
    <s v="PN-18775"/>
    <s v="Parhena Norris"/>
    <x v="2"/>
    <s v="United States"/>
    <x v="345"/>
    <x v="9"/>
    <x v="0"/>
    <s v="FUR-FU-10000193"/>
    <s v="Furniture"/>
    <x v="3"/>
    <s v="Tenex Chairmats For Use with Hard Floors"/>
    <n v="77.951999999999998"/>
    <n v="3"/>
    <n v="-11.6928"/>
    <x v="4"/>
    <x v="6"/>
  </r>
  <r>
    <s v="CA-2017-142391"/>
    <x v="118"/>
    <d v="2017-09-24T00:00:00"/>
    <x v="3"/>
    <s v="PB-19150"/>
    <s v="Philip Brown"/>
    <x v="0"/>
    <s v="United States"/>
    <x v="15"/>
    <x v="13"/>
    <x v="1"/>
    <s v="FUR-FU-10002759"/>
    <s v="Furniture"/>
    <x v="3"/>
    <s v="12-1/2 Diameter Round Wall Clock"/>
    <n v="199.8"/>
    <n v="10"/>
    <n v="71.927999999999997"/>
    <x v="7"/>
    <x v="4"/>
  </r>
  <r>
    <s v="CA-2016-158841"/>
    <x v="821"/>
    <d v="2016-02-04T00:00:00"/>
    <x v="0"/>
    <s v="SE-20110"/>
    <s v="Sanjit Engle"/>
    <x v="0"/>
    <s v="United States"/>
    <x v="58"/>
    <x v="25"/>
    <x v="0"/>
    <s v="FUR-FU-10001731"/>
    <s v="Furniture"/>
    <x v="3"/>
    <s v="Acrylic Self-Standing Desk Frames"/>
    <n v="18.690000000000001"/>
    <n v="7"/>
    <n v="7.1021999999999998"/>
    <x v="3"/>
    <x v="11"/>
  </r>
  <r>
    <s v="CA-2015-102316"/>
    <x v="822"/>
    <d v="2015-03-03T00:00:00"/>
    <x v="0"/>
    <s v="DH-13075"/>
    <s v="Dave Hallsten"/>
    <x v="1"/>
    <s v="United States"/>
    <x v="2"/>
    <x v="2"/>
    <x v="1"/>
    <s v="FUR-CH-10003396"/>
    <s v="Furniture"/>
    <x v="1"/>
    <s v="Global Deluxe Steno Chair"/>
    <n v="184.75200000000001"/>
    <n v="3"/>
    <n v="-20.784600000000001"/>
    <x v="3"/>
    <x v="9"/>
  </r>
  <r>
    <s v="CA-2016-109400"/>
    <x v="630"/>
    <d v="2016-05-06T00:00:00"/>
    <x v="1"/>
    <s v="NR-18550"/>
    <s v="Nick Radford"/>
    <x v="0"/>
    <s v="United States"/>
    <x v="45"/>
    <x v="5"/>
    <x v="3"/>
    <s v="FUR-CH-10003298"/>
    <s v="Furniture"/>
    <x v="1"/>
    <s v="Office Star - Contemporary Task Swivel chair with Loop Arms, Charcoal"/>
    <n v="366.74400000000003"/>
    <n v="4"/>
    <n v="-110.0232"/>
    <x v="4"/>
    <x v="7"/>
  </r>
  <r>
    <s v="CA-2016-144645"/>
    <x v="821"/>
    <d v="2016-02-08T00:00:00"/>
    <x v="1"/>
    <s v="NS-18640"/>
    <s v="Noel Staavos"/>
    <x v="1"/>
    <s v="United States"/>
    <x v="6"/>
    <x v="5"/>
    <x v="3"/>
    <s v="FUR-FU-10003601"/>
    <s v="Furniture"/>
    <x v="3"/>
    <s v="Deflect-o RollaMat Studded, Beveled Mat for Medium Pile Carpeting"/>
    <n v="73.784000000000006"/>
    <n v="2"/>
    <n v="-77.473200000000006"/>
    <x v="6"/>
    <x v="11"/>
  </r>
  <r>
    <s v="CA-2017-149720"/>
    <x v="182"/>
    <d v="2017-06-07T00:00:00"/>
    <x v="0"/>
    <s v="EM-14065"/>
    <s v="Erin Mull"/>
    <x v="0"/>
    <s v="United States"/>
    <x v="346"/>
    <x v="5"/>
    <x v="3"/>
    <s v="FUR-FU-10002501"/>
    <s v="Furniture"/>
    <x v="3"/>
    <s v="Nu-Dell Executive Frame"/>
    <n v="30.335999999999999"/>
    <n v="6"/>
    <n v="-17.443200000000001"/>
    <x v="0"/>
    <x v="2"/>
  </r>
  <r>
    <s v="CA-2017-118003"/>
    <x v="423"/>
    <d v="2017-12-10T00:00:00"/>
    <x v="1"/>
    <s v="DO-13645"/>
    <s v="Doug O'Connell"/>
    <x v="0"/>
    <s v="United States"/>
    <x v="309"/>
    <x v="18"/>
    <x v="2"/>
    <s v="FUR-FU-10002506"/>
    <s v="Furniture"/>
    <x v="3"/>
    <s v="Tensor &quot;Hersey Kiss&quot; Styled Floor Lamp"/>
    <n v="12.99"/>
    <n v="1"/>
    <n v="1.5588"/>
    <x v="6"/>
    <x v="5"/>
  </r>
  <r>
    <s v="CA-2017-118003"/>
    <x v="423"/>
    <d v="2017-12-10T00:00:00"/>
    <x v="1"/>
    <s v="DO-13645"/>
    <s v="Doug O'Connell"/>
    <x v="0"/>
    <s v="United States"/>
    <x v="309"/>
    <x v="18"/>
    <x v="2"/>
    <s v="FUR-CH-10003817"/>
    <s v="Furniture"/>
    <x v="1"/>
    <s v="Global Value Steno Chair, Gray"/>
    <n v="182.22"/>
    <n v="3"/>
    <n v="45.555"/>
    <x v="6"/>
    <x v="5"/>
  </r>
  <r>
    <s v="CA-2017-118003"/>
    <x v="423"/>
    <d v="2017-12-10T00:00:00"/>
    <x v="1"/>
    <s v="DO-13645"/>
    <s v="Doug O'Connell"/>
    <x v="0"/>
    <s v="United States"/>
    <x v="309"/>
    <x v="18"/>
    <x v="2"/>
    <s v="FUR-CH-10004860"/>
    <s v="Furniture"/>
    <x v="1"/>
    <s v="Global Low Back Tilter Chair"/>
    <n v="302.94"/>
    <n v="3"/>
    <n v="18.176400000000001"/>
    <x v="6"/>
    <x v="5"/>
  </r>
  <r>
    <s v="CA-2016-141887"/>
    <x v="823"/>
    <d v="2016-01-15T00:00:00"/>
    <x v="1"/>
    <s v="MP-17470"/>
    <s v="Mark Packer"/>
    <x v="2"/>
    <s v="United States"/>
    <x v="29"/>
    <x v="15"/>
    <x v="2"/>
    <s v="FUR-FU-10002268"/>
    <s v="Furniture"/>
    <x v="3"/>
    <s v="Ultra Door Push Plate"/>
    <n v="54.991999999999997"/>
    <n v="14"/>
    <n v="8.9361999999999995"/>
    <x v="4"/>
    <x v="8"/>
  </r>
  <r>
    <s v="CA-2017-161172"/>
    <x v="824"/>
    <d v="2017-03-16T00:00:00"/>
    <x v="3"/>
    <s v="SP-20920"/>
    <s v="Susan Pistek"/>
    <x v="0"/>
    <s v="United States"/>
    <x v="29"/>
    <x v="15"/>
    <x v="2"/>
    <s v="FUR-FU-10003424"/>
    <s v="Furniture"/>
    <x v="3"/>
    <s v="Nu-Dell Oak Frame"/>
    <n v="51.264000000000003"/>
    <n v="6"/>
    <n v="7.6896000000000004"/>
    <x v="7"/>
    <x v="9"/>
  </r>
  <r>
    <s v="CA-2017-137624"/>
    <x v="219"/>
    <d v="2017-11-17T00:00:00"/>
    <x v="1"/>
    <s v="ME-17320"/>
    <s v="Maria Etezadi"/>
    <x v="2"/>
    <s v="United States"/>
    <x v="2"/>
    <x v="2"/>
    <x v="1"/>
    <s v="FUR-CH-10001714"/>
    <s v="Furniture"/>
    <x v="1"/>
    <s v="Global Leather &amp; Oak Executive Chair, Burgundy"/>
    <n v="241.42400000000001"/>
    <n v="2"/>
    <n v="-36.2136"/>
    <x v="1"/>
    <x v="0"/>
  </r>
  <r>
    <s v="CA-2016-156748"/>
    <x v="825"/>
    <d v="2016-12-06T00:00:00"/>
    <x v="1"/>
    <s v="BS-11755"/>
    <s v="Bruce Stewart"/>
    <x v="0"/>
    <s v="United States"/>
    <x v="25"/>
    <x v="17"/>
    <x v="3"/>
    <s v="FUR-CH-10000513"/>
    <s v="Furniture"/>
    <x v="1"/>
    <s v="High-Back Leather Manager's Chair"/>
    <n v="389.97"/>
    <n v="3"/>
    <n v="35.097299999999997"/>
    <x v="6"/>
    <x v="0"/>
  </r>
  <r>
    <s v="CA-2015-157287"/>
    <x v="826"/>
    <d v="2015-12-23T00:00:00"/>
    <x v="2"/>
    <s v="HR-14830"/>
    <s v="Harold Ryan"/>
    <x v="1"/>
    <s v="United States"/>
    <x v="3"/>
    <x v="3"/>
    <x v="2"/>
    <s v="FUR-CH-10001270"/>
    <s v="Furniture"/>
    <x v="1"/>
    <s v="Harbour Creations Steel Folding Chair"/>
    <n v="422.625"/>
    <n v="7"/>
    <n v="0"/>
    <x v="5"/>
    <x v="5"/>
  </r>
  <r>
    <s v="CA-2016-119074"/>
    <x v="827"/>
    <d v="2016-03-31T00:00:00"/>
    <x v="1"/>
    <s v="DS-13180"/>
    <s v="David Smith"/>
    <x v="1"/>
    <s v="United States"/>
    <x v="29"/>
    <x v="24"/>
    <x v="0"/>
    <s v="FUR-FU-10004053"/>
    <s v="Furniture"/>
    <x v="3"/>
    <s v="DAX Two-Tone Silver Metal Document Frame"/>
    <n v="20.239999999999998"/>
    <n v="1"/>
    <n v="8.7032000000000007"/>
    <x v="4"/>
    <x v="9"/>
  </r>
  <r>
    <s v="CA-2016-119074"/>
    <x v="827"/>
    <d v="2016-03-31T00:00:00"/>
    <x v="1"/>
    <s v="DS-13180"/>
    <s v="David Smith"/>
    <x v="1"/>
    <s v="United States"/>
    <x v="29"/>
    <x v="24"/>
    <x v="0"/>
    <s v="FUR-FU-10003731"/>
    <s v="Furniture"/>
    <x v="3"/>
    <s v="Eldon Expressions Wood and Plastic Desk Accessories, Oak"/>
    <n v="39.92"/>
    <n v="4"/>
    <n v="11.1776"/>
    <x v="4"/>
    <x v="9"/>
  </r>
  <r>
    <s v="CA-2015-126186"/>
    <x v="795"/>
    <d v="2015-09-12T00:00:00"/>
    <x v="2"/>
    <s v="GB-14530"/>
    <s v="George Bell"/>
    <x v="1"/>
    <s v="United States"/>
    <x v="14"/>
    <x v="12"/>
    <x v="1"/>
    <s v="FUR-FU-10000073"/>
    <s v="Furniture"/>
    <x v="3"/>
    <s v="Deflect-O Glasstique Clear Desk Accessories"/>
    <n v="24.64"/>
    <n v="4"/>
    <n v="4.0039999999999996"/>
    <x v="5"/>
    <x v="4"/>
  </r>
  <r>
    <s v="CA-2016-102092"/>
    <x v="453"/>
    <d v="2016-12-11T00:00:00"/>
    <x v="2"/>
    <s v="PM-18940"/>
    <s v="Paul MacIntyre"/>
    <x v="0"/>
    <s v="United States"/>
    <x v="76"/>
    <x v="25"/>
    <x v="0"/>
    <s v="FUR-TA-10002530"/>
    <s v="Furniture"/>
    <x v="2"/>
    <s v="Iceberg OfficeWorks 42&quot; Round Tables"/>
    <n v="1056.8599999999999"/>
    <n v="7"/>
    <n v="158.529"/>
    <x v="3"/>
    <x v="5"/>
  </r>
  <r>
    <s v="CA-2016-132829"/>
    <x v="207"/>
    <d v="2016-12-26T00:00:00"/>
    <x v="0"/>
    <s v="LA-16780"/>
    <s v="Laura Armstrong"/>
    <x v="1"/>
    <s v="United States"/>
    <x v="6"/>
    <x v="5"/>
    <x v="3"/>
    <s v="FUR-FU-10000206"/>
    <s v="Furniture"/>
    <x v="3"/>
    <s v="GE General Purpose, Extra Long Life, Showcase &amp; Floodlight Incandescent Bulbs"/>
    <n v="2.3279999999999998"/>
    <n v="2"/>
    <n v="-0.75660000000000005"/>
    <x v="0"/>
    <x v="5"/>
  </r>
  <r>
    <s v="CA-2016-123540"/>
    <x v="828"/>
    <d v="2016-04-06T00:00:00"/>
    <x v="0"/>
    <s v="DJ-13420"/>
    <s v="Denny Joy"/>
    <x v="1"/>
    <s v="United States"/>
    <x v="79"/>
    <x v="16"/>
    <x v="3"/>
    <s v="FUR-CH-10000847"/>
    <s v="Furniture"/>
    <x v="1"/>
    <s v="Global Executive Mid-Back Manager's Chair"/>
    <n v="1454.9"/>
    <n v="5"/>
    <n v="378.274"/>
    <x v="4"/>
    <x v="6"/>
  </r>
  <r>
    <s v="US-2017-108315"/>
    <x v="393"/>
    <d v="2017-05-04T00:00:00"/>
    <x v="1"/>
    <s v="MH-18115"/>
    <s v="Mick Hernandez"/>
    <x v="2"/>
    <s v="United States"/>
    <x v="347"/>
    <x v="1"/>
    <x v="0"/>
    <s v="FUR-FU-10000747"/>
    <s v="Furniture"/>
    <x v="3"/>
    <s v="Tenex B1-RE Series Chair Mats for Low Pile Carpets"/>
    <n v="220.70400000000001"/>
    <n v="6"/>
    <n v="-8.2764000000000006"/>
    <x v="4"/>
    <x v="6"/>
  </r>
  <r>
    <s v="CA-2017-106747"/>
    <x v="209"/>
    <d v="2017-07-04T00:00:00"/>
    <x v="2"/>
    <s v="TS-21505"/>
    <s v="Tony Sayre"/>
    <x v="0"/>
    <s v="United States"/>
    <x v="41"/>
    <x v="28"/>
    <x v="2"/>
    <s v="FUR-FU-10004188"/>
    <s v="Furniture"/>
    <x v="3"/>
    <s v="Luxo Professional Combination Clamp-On Lamps"/>
    <n v="102.3"/>
    <n v="1"/>
    <n v="26.597999999999999"/>
    <x v="5"/>
    <x v="3"/>
  </r>
  <r>
    <s v="CA-2017-146164"/>
    <x v="313"/>
    <d v="2017-12-26T00:00:00"/>
    <x v="1"/>
    <s v="CM-12190"/>
    <s v="Charlotte Melton"/>
    <x v="0"/>
    <s v="United States"/>
    <x v="77"/>
    <x v="11"/>
    <x v="3"/>
    <s v="FUR-TA-10004915"/>
    <s v="Furniture"/>
    <x v="2"/>
    <s v="Office Impressions End Table, 20-1/2&quot;H x 24&quot;W x 20&quot;D"/>
    <n v="607.52"/>
    <n v="2"/>
    <n v="97.203199999999995"/>
    <x v="4"/>
    <x v="5"/>
  </r>
  <r>
    <s v="CA-2014-130673"/>
    <x v="321"/>
    <d v="2014-05-22T00:00:00"/>
    <x v="0"/>
    <s v="MC-17590"/>
    <s v="Matt Collister"/>
    <x v="1"/>
    <s v="United States"/>
    <x v="348"/>
    <x v="5"/>
    <x v="3"/>
    <s v="FUR-FU-10003489"/>
    <s v="Furniture"/>
    <x v="3"/>
    <s v="Contemporary Borderless Frame"/>
    <n v="10.332000000000001"/>
    <n v="3"/>
    <n v="-5.9409000000000001"/>
    <x v="3"/>
    <x v="7"/>
  </r>
  <r>
    <s v="CA-2017-101700"/>
    <x v="748"/>
    <d v="2017-04-26T00:00:00"/>
    <x v="2"/>
    <s v="SO-20335"/>
    <s v="Sean O'Donnell"/>
    <x v="0"/>
    <s v="United States"/>
    <x v="349"/>
    <x v="12"/>
    <x v="1"/>
    <s v="FUR-FU-10001025"/>
    <s v="Furniture"/>
    <x v="3"/>
    <s v="Eldon Imˆge Series Desk Accessories, Clear"/>
    <n v="11.664"/>
    <n v="3"/>
    <n v="3.3534000000000002"/>
    <x v="0"/>
    <x v="6"/>
  </r>
  <r>
    <s v="CA-2014-151946"/>
    <x v="829"/>
    <d v="2014-06-09T00:00:00"/>
    <x v="1"/>
    <s v="BT-11440"/>
    <s v="Bobby Trafton"/>
    <x v="0"/>
    <s v="United States"/>
    <x v="13"/>
    <x v="7"/>
    <x v="2"/>
    <s v="FUR-FU-10002878"/>
    <s v="Furniture"/>
    <x v="3"/>
    <s v="Seth Thomas 14&quot; Day/Date Wall Clock"/>
    <n v="56.96"/>
    <n v="2"/>
    <n v="21.075199999999999"/>
    <x v="2"/>
    <x v="2"/>
  </r>
  <r>
    <s v="CA-2014-151946"/>
    <x v="829"/>
    <d v="2014-06-09T00:00:00"/>
    <x v="1"/>
    <s v="BT-11440"/>
    <s v="Bobby Trafton"/>
    <x v="0"/>
    <s v="United States"/>
    <x v="13"/>
    <x v="7"/>
    <x v="2"/>
    <s v="FUR-BO-10003272"/>
    <s v="Furniture"/>
    <x v="0"/>
    <s v="O'Sullivan Living Dimensions 5-Shelf Bookcases"/>
    <n v="353.56799999999998"/>
    <n v="2"/>
    <n v="-44.195999999999998"/>
    <x v="2"/>
    <x v="2"/>
  </r>
  <r>
    <s v="CA-2014-151946"/>
    <x v="829"/>
    <d v="2014-06-09T00:00:00"/>
    <x v="1"/>
    <s v="BT-11440"/>
    <s v="Bobby Trafton"/>
    <x v="0"/>
    <s v="United States"/>
    <x v="13"/>
    <x v="7"/>
    <x v="2"/>
    <s v="FUR-FU-10002191"/>
    <s v="Furniture"/>
    <x v="3"/>
    <s v="G.E. Halogen Desk Lamp Bulbs"/>
    <n v="13.96"/>
    <n v="2"/>
    <n v="6.7008000000000001"/>
    <x v="2"/>
    <x v="2"/>
  </r>
  <r>
    <s v="CA-2017-117513"/>
    <x v="470"/>
    <d v="2017-03-08T00:00:00"/>
    <x v="1"/>
    <s v="BT-11395"/>
    <s v="Bill Tyler"/>
    <x v="1"/>
    <s v="United States"/>
    <x v="2"/>
    <x v="2"/>
    <x v="1"/>
    <s v="FUR-TA-10001520"/>
    <s v="Furniture"/>
    <x v="2"/>
    <s v="Lesro Sheffield Collection Coffee Table, End Table, Center Table, Corner Table"/>
    <n v="399.67200000000003"/>
    <n v="7"/>
    <n v="-14.9877"/>
    <x v="2"/>
    <x v="9"/>
  </r>
  <r>
    <s v="US-2017-119319"/>
    <x v="200"/>
    <d v="2017-11-09T00:00:00"/>
    <x v="0"/>
    <s v="LC-17050"/>
    <s v="Liz Carlisle"/>
    <x v="0"/>
    <s v="United States"/>
    <x v="144"/>
    <x v="5"/>
    <x v="3"/>
    <s v="FUR-FU-10003878"/>
    <s v="Furniture"/>
    <x v="3"/>
    <s v="Linden 10&quot; Round Wall Clock, Black"/>
    <n v="30.56"/>
    <n v="5"/>
    <n v="-19.864000000000001"/>
    <x v="0"/>
    <x v="0"/>
  </r>
  <r>
    <s v="CA-2015-164084"/>
    <x v="395"/>
    <d v="2015-09-12T00:00:00"/>
    <x v="1"/>
    <s v="AG-10525"/>
    <s v="Andy Gerbode"/>
    <x v="1"/>
    <s v="United States"/>
    <x v="13"/>
    <x v="7"/>
    <x v="2"/>
    <s v="FUR-TA-10003569"/>
    <s v="Furniture"/>
    <x v="2"/>
    <s v="Bretford CR8500 Series Meeting Room Furniture"/>
    <n v="481.17599999999999"/>
    <n v="2"/>
    <n v="-120.294"/>
    <x v="2"/>
    <x v="4"/>
  </r>
  <r>
    <s v="CA-2016-107783"/>
    <x v="830"/>
    <d v="2016-07-29T00:00:00"/>
    <x v="2"/>
    <s v="OT-18730"/>
    <s v="Olvera Toch"/>
    <x v="0"/>
    <s v="United States"/>
    <x v="268"/>
    <x v="3"/>
    <x v="2"/>
    <s v="FUR-BO-10004409"/>
    <s v="Furniture"/>
    <x v="0"/>
    <s v="Safco Value Mate Series Steel Bookcases, Baked Enamel Finish on Steel, Gray"/>
    <n v="177.45"/>
    <n v="5"/>
    <n v="-78.078000000000003"/>
    <x v="5"/>
    <x v="3"/>
  </r>
  <r>
    <s v="CA-2017-159793"/>
    <x v="831"/>
    <d v="2017-08-29T00:00:00"/>
    <x v="1"/>
    <s v="SV-20365"/>
    <s v="Seth Vernon"/>
    <x v="0"/>
    <s v="United States"/>
    <x v="3"/>
    <x v="3"/>
    <x v="2"/>
    <s v="FUR-BO-10001798"/>
    <s v="Furniture"/>
    <x v="0"/>
    <s v="Bush Somerset Collection Bookcase"/>
    <n v="130.97999999999999"/>
    <n v="2"/>
    <n v="-89.066400000000002"/>
    <x v="4"/>
    <x v="10"/>
  </r>
  <r>
    <s v="CA-2017-151281"/>
    <x v="437"/>
    <d v="2017-05-02T00:00:00"/>
    <x v="1"/>
    <s v="HM-14980"/>
    <s v="Henry MacAllister"/>
    <x v="0"/>
    <s v="United States"/>
    <x v="15"/>
    <x v="13"/>
    <x v="1"/>
    <s v="FUR-FU-10000397"/>
    <s v="Furniture"/>
    <x v="3"/>
    <s v="Luxo Economy Swing Arm Lamp"/>
    <n v="139.58000000000001"/>
    <n v="7"/>
    <n v="39.0824"/>
    <x v="2"/>
    <x v="6"/>
  </r>
  <r>
    <s v="CA-2015-108259"/>
    <x v="428"/>
    <d v="2015-11-15T00:00:00"/>
    <x v="1"/>
    <s v="NS-18640"/>
    <s v="Noel Staavos"/>
    <x v="1"/>
    <s v="United States"/>
    <x v="51"/>
    <x v="30"/>
    <x v="0"/>
    <s v="FUR-FU-10000023"/>
    <s v="Furniture"/>
    <x v="3"/>
    <s v="Eldon Wave Desk Accessories"/>
    <n v="4.7119999999999997"/>
    <n v="1"/>
    <n v="1.4136"/>
    <x v="1"/>
    <x v="0"/>
  </r>
  <r>
    <s v="CA-2016-113341"/>
    <x v="778"/>
    <d v="2016-11-29T00:00:00"/>
    <x v="1"/>
    <s v="MH-17455"/>
    <s v="Mark Hamilton"/>
    <x v="0"/>
    <s v="United States"/>
    <x v="2"/>
    <x v="2"/>
    <x v="1"/>
    <s v="FUR-CH-10004698"/>
    <s v="Furniture"/>
    <x v="1"/>
    <s v="Padded Folding Chairs, Black, 4/Carton"/>
    <n v="194.352"/>
    <n v="3"/>
    <n v="19.435199999999998"/>
    <x v="4"/>
    <x v="0"/>
  </r>
  <r>
    <s v="US-2015-131842"/>
    <x v="482"/>
    <d v="2015-12-08T00:00:00"/>
    <x v="2"/>
    <s v="RR-19525"/>
    <s v="Rick Reed"/>
    <x v="1"/>
    <s v="United States"/>
    <x v="228"/>
    <x v="9"/>
    <x v="0"/>
    <s v="FUR-CH-10004477"/>
    <s v="Furniture"/>
    <x v="1"/>
    <s v="Global Push Button Manager's Chair, Indigo"/>
    <n v="97.424000000000007"/>
    <n v="2"/>
    <n v="10.9602"/>
    <x v="0"/>
    <x v="5"/>
  </r>
  <r>
    <s v="CA-2014-142769"/>
    <x v="624"/>
    <d v="2014-09-13T00:00:00"/>
    <x v="3"/>
    <s v="RP-19390"/>
    <s v="Resi Pšlking"/>
    <x v="0"/>
    <s v="United States"/>
    <x v="15"/>
    <x v="13"/>
    <x v="1"/>
    <s v="FUR-FU-10001918"/>
    <s v="Furniture"/>
    <x v="3"/>
    <s v="C-Line Cubicle Keepers Polyproplyene Holder With Velcro Backings"/>
    <n v="14.19"/>
    <n v="3"/>
    <n v="5.5340999999999996"/>
    <x v="7"/>
    <x v="4"/>
  </r>
  <r>
    <s v="CA-2017-124765"/>
    <x v="608"/>
    <d v="2017-11-30T00:00:00"/>
    <x v="1"/>
    <s v="HZ-14950"/>
    <s v="Henia Zydlo"/>
    <x v="0"/>
    <s v="United States"/>
    <x v="1"/>
    <x v="1"/>
    <x v="0"/>
    <s v="FUR-BO-10003965"/>
    <s v="Furniture"/>
    <x v="0"/>
    <s v="O'Sullivan Manor Hill 2-Door Library in Brianna Oak"/>
    <n v="723.92"/>
    <n v="5"/>
    <n v="-81.441000000000003"/>
    <x v="2"/>
    <x v="0"/>
  </r>
  <r>
    <s v="CA-2015-131856"/>
    <x v="832"/>
    <d v="2015-05-17T00:00:00"/>
    <x v="1"/>
    <s v="JG-15160"/>
    <s v="James Galang"/>
    <x v="0"/>
    <s v="United States"/>
    <x v="6"/>
    <x v="5"/>
    <x v="3"/>
    <s v="FUR-FU-10000175"/>
    <s v="Furniture"/>
    <x v="3"/>
    <s v="DAX Wood Document Frame."/>
    <n v="21.968"/>
    <n v="4"/>
    <n v="-15.9268"/>
    <x v="2"/>
    <x v="7"/>
  </r>
  <r>
    <s v="CA-2017-126634"/>
    <x v="833"/>
    <d v="2017-04-01T00:00:00"/>
    <x v="0"/>
    <s v="AB-10165"/>
    <s v="Alan Barnes"/>
    <x v="0"/>
    <s v="United States"/>
    <x v="174"/>
    <x v="2"/>
    <x v="1"/>
    <s v="FUR-FU-10004973"/>
    <s v="Furniture"/>
    <x v="3"/>
    <s v="Flat Face Poster Frame"/>
    <n v="94.2"/>
    <n v="5"/>
    <n v="39.564"/>
    <x v="3"/>
    <x v="9"/>
  </r>
  <r>
    <s v="US-2014-159611"/>
    <x v="421"/>
    <d v="2015-01-01T00:00:00"/>
    <x v="0"/>
    <s v="KB-16315"/>
    <s v="Karl Braun"/>
    <x v="0"/>
    <s v="United States"/>
    <x v="59"/>
    <x v="15"/>
    <x v="2"/>
    <s v="FUR-FU-10004904"/>
    <s v="Furniture"/>
    <x v="3"/>
    <s v="Eldon &quot;L&quot; Workstation Diamond Chairmat"/>
    <n v="182.352"/>
    <n v="3"/>
    <n v="-18.235199999999999"/>
    <x v="2"/>
    <x v="5"/>
  </r>
  <r>
    <s v="CA-2017-163265"/>
    <x v="834"/>
    <d v="2017-02-21T00:00:00"/>
    <x v="1"/>
    <s v="JS-16030"/>
    <s v="Joy Smith"/>
    <x v="0"/>
    <s v="United States"/>
    <x v="42"/>
    <x v="8"/>
    <x v="3"/>
    <s v="FUR-CH-10004063"/>
    <s v="Furniture"/>
    <x v="1"/>
    <s v="Global Deluxe High-Back Manager's Chair"/>
    <n v="600.55799999999999"/>
    <n v="3"/>
    <n v="-8.5793999999999997"/>
    <x v="2"/>
    <x v="11"/>
  </r>
  <r>
    <s v="CA-2017-163265"/>
    <x v="834"/>
    <d v="2017-02-21T00:00:00"/>
    <x v="1"/>
    <s v="JS-16030"/>
    <s v="Joy Smith"/>
    <x v="0"/>
    <s v="United States"/>
    <x v="42"/>
    <x v="8"/>
    <x v="3"/>
    <s v="FUR-FU-10004270"/>
    <s v="Furniture"/>
    <x v="3"/>
    <s v="Executive Impressions 13&quot; Clairmont Wall Clock"/>
    <n v="7.6920000000000002"/>
    <n v="1"/>
    <n v="-3.6537000000000002"/>
    <x v="2"/>
    <x v="11"/>
  </r>
  <r>
    <s v="CA-2017-141705"/>
    <x v="835"/>
    <d v="2017-10-26T00:00:00"/>
    <x v="2"/>
    <s v="PO-18850"/>
    <s v="Patrick O'Brill"/>
    <x v="0"/>
    <s v="United States"/>
    <x v="350"/>
    <x v="5"/>
    <x v="3"/>
    <s v="FUR-TA-10004607"/>
    <s v="Furniture"/>
    <x v="2"/>
    <s v="Hon 2111 Invitation Series Straight Table"/>
    <n v="517.40499999999997"/>
    <n v="5"/>
    <n v="-81.3065"/>
    <x v="3"/>
    <x v="1"/>
  </r>
  <r>
    <s v="CA-2017-127096"/>
    <x v="102"/>
    <d v="2017-09-17T00:00:00"/>
    <x v="0"/>
    <s v="CS-12400"/>
    <s v="Christopher Schild"/>
    <x v="2"/>
    <s v="United States"/>
    <x v="28"/>
    <x v="2"/>
    <x v="1"/>
    <s v="FUR-TA-10003473"/>
    <s v="Furniture"/>
    <x v="2"/>
    <s v="Bretford Rectangular Conference Table Tops"/>
    <n v="300.904"/>
    <n v="1"/>
    <n v="11.283899999999999"/>
    <x v="3"/>
    <x v="4"/>
  </r>
  <r>
    <s v="CA-2017-119284"/>
    <x v="836"/>
    <d v="2017-06-20T00:00:00"/>
    <x v="1"/>
    <s v="TS-21205"/>
    <s v="Thomas Seio"/>
    <x v="1"/>
    <s v="United States"/>
    <x v="228"/>
    <x v="9"/>
    <x v="0"/>
    <s v="FUR-FU-10004351"/>
    <s v="Furniture"/>
    <x v="3"/>
    <s v="Staple-based wall hangings"/>
    <n v="31.167999999999999"/>
    <n v="4"/>
    <n v="9.3504000000000005"/>
    <x v="2"/>
    <x v="2"/>
  </r>
  <r>
    <s v="CA-2017-119284"/>
    <x v="836"/>
    <d v="2017-06-20T00:00:00"/>
    <x v="1"/>
    <s v="TS-21205"/>
    <s v="Thomas Seio"/>
    <x v="1"/>
    <s v="United States"/>
    <x v="228"/>
    <x v="9"/>
    <x v="0"/>
    <s v="FUR-TA-10004152"/>
    <s v="Furniture"/>
    <x v="2"/>
    <s v="Barricks 18&quot; x 48&quot; Non-Folding Utility Table with Bottom Storage Shelf"/>
    <n v="120.96"/>
    <n v="2"/>
    <n v="-28.224"/>
    <x v="2"/>
    <x v="2"/>
  </r>
  <r>
    <s v="CA-2014-146815"/>
    <x v="30"/>
    <d v="2014-09-13T00:00:00"/>
    <x v="1"/>
    <s v="PP-18955"/>
    <s v="Paul Prost"/>
    <x v="2"/>
    <s v="United States"/>
    <x v="13"/>
    <x v="7"/>
    <x v="2"/>
    <s v="FUR-CH-10004289"/>
    <s v="Furniture"/>
    <x v="1"/>
    <s v="Global Super Steno Chair"/>
    <n v="172.76400000000001"/>
    <n v="2"/>
    <n v="13.437200000000001"/>
    <x v="2"/>
    <x v="4"/>
  </r>
  <r>
    <s v="CA-2014-119144"/>
    <x v="627"/>
    <d v="2014-11-18T00:00:00"/>
    <x v="2"/>
    <s v="JD-16150"/>
    <s v="Justin Deggeller"/>
    <x v="1"/>
    <s v="United States"/>
    <x v="2"/>
    <x v="2"/>
    <x v="1"/>
    <s v="FUR-BO-10004015"/>
    <s v="Furniture"/>
    <x v="0"/>
    <s v="Bush Andora Bookcase, Maple/Graphite Gray Finish"/>
    <n v="305.97449999999998"/>
    <n v="3"/>
    <n v="25.197900000000001"/>
    <x v="3"/>
    <x v="0"/>
  </r>
  <r>
    <s v="CA-2014-105648"/>
    <x v="749"/>
    <d v="2014-03-07T00:00:00"/>
    <x v="1"/>
    <s v="EJ-14155"/>
    <s v="Eva Jacobs"/>
    <x v="0"/>
    <s v="United States"/>
    <x v="53"/>
    <x v="2"/>
    <x v="1"/>
    <s v="FUR-TA-10002958"/>
    <s v="Furniture"/>
    <x v="2"/>
    <s v="Bevis Oval Conference Table, Walnut"/>
    <n v="626.35199999999998"/>
    <n v="3"/>
    <n v="-23.488199999999999"/>
    <x v="4"/>
    <x v="9"/>
  </r>
  <r>
    <s v="US-2015-145422"/>
    <x v="62"/>
    <d v="2015-12-07T00:00:00"/>
    <x v="1"/>
    <s v="PW-19240"/>
    <s v="Pierre Wener"/>
    <x v="0"/>
    <s v="United States"/>
    <x v="28"/>
    <x v="2"/>
    <x v="1"/>
    <s v="FUR-BO-10002213"/>
    <s v="Furniture"/>
    <x v="0"/>
    <s v="Sauder Forest Hills Library, Woodland Oak Finish"/>
    <n v="359.49900000000002"/>
    <n v="3"/>
    <n v="-29.605799999999999"/>
    <x v="4"/>
    <x v="5"/>
  </r>
  <r>
    <s v="CA-2016-120824"/>
    <x v="21"/>
    <d v="2016-06-16T00:00:00"/>
    <x v="0"/>
    <s v="AW-10930"/>
    <s v="Arthur Wiediger"/>
    <x v="2"/>
    <s v="United States"/>
    <x v="6"/>
    <x v="5"/>
    <x v="3"/>
    <s v="FUR-FU-10001424"/>
    <s v="Furniture"/>
    <x v="3"/>
    <s v="Dax Clear Box Frame"/>
    <n v="6.984"/>
    <n v="2"/>
    <n v="-4.5396000000000001"/>
    <x v="4"/>
    <x v="2"/>
  </r>
  <r>
    <s v="CA-2016-120824"/>
    <x v="21"/>
    <d v="2016-06-16T00:00:00"/>
    <x v="0"/>
    <s v="AW-10930"/>
    <s v="Arthur Wiediger"/>
    <x v="2"/>
    <s v="United States"/>
    <x v="6"/>
    <x v="5"/>
    <x v="3"/>
    <s v="FUR-CH-10000229"/>
    <s v="Furniture"/>
    <x v="1"/>
    <s v="Global Enterprise Series Seating High-Back Swivel/Tilt Chairs"/>
    <n v="379.37200000000001"/>
    <n v="2"/>
    <n v="-119.2312"/>
    <x v="4"/>
    <x v="2"/>
  </r>
  <r>
    <s v="CA-2015-103870"/>
    <x v="7"/>
    <d v="2015-12-31T00:00:00"/>
    <x v="1"/>
    <s v="SP-20860"/>
    <s v="Sung Pak"/>
    <x v="1"/>
    <s v="United States"/>
    <x v="34"/>
    <x v="9"/>
    <x v="0"/>
    <s v="FUR-FU-10002030"/>
    <s v="Furniture"/>
    <x v="3"/>
    <s v="Executive Impressions 14&quot; Contract Wall Clock with Quartz Movement"/>
    <n v="53.351999999999997"/>
    <n v="3"/>
    <n v="16.005600000000001"/>
    <x v="4"/>
    <x v="5"/>
  </r>
  <r>
    <s v="CA-2015-103870"/>
    <x v="7"/>
    <d v="2015-12-31T00:00:00"/>
    <x v="1"/>
    <s v="SP-20860"/>
    <s v="Sung Pak"/>
    <x v="1"/>
    <s v="United States"/>
    <x v="34"/>
    <x v="9"/>
    <x v="0"/>
    <s v="FUR-BO-10002853"/>
    <s v="Furniture"/>
    <x v="0"/>
    <s v="O'Sullivan 5-Shelf Heavy-Duty Bookcases"/>
    <n v="131.10400000000001"/>
    <n v="2"/>
    <n v="8.1940000000000008"/>
    <x v="4"/>
    <x v="5"/>
  </r>
  <r>
    <s v="CA-2017-116988"/>
    <x v="419"/>
    <d v="2017-06-29T00:00:00"/>
    <x v="0"/>
    <s v="PW-19030"/>
    <s v="Pauline Webber"/>
    <x v="1"/>
    <s v="United States"/>
    <x v="15"/>
    <x v="13"/>
    <x v="1"/>
    <s v="FUR-FU-10001290"/>
    <s v="Furniture"/>
    <x v="3"/>
    <s v="Executive Impressions Supervisor Wall Clock"/>
    <n v="126.3"/>
    <n v="3"/>
    <n v="40.415999999999997"/>
    <x v="3"/>
    <x v="2"/>
  </r>
  <r>
    <s v="US-2015-144771"/>
    <x v="837"/>
    <d v="2015-10-04T00:00:00"/>
    <x v="2"/>
    <s v="CK-12205"/>
    <s v="Chloris Kastensmidt"/>
    <x v="0"/>
    <s v="United States"/>
    <x v="351"/>
    <x v="36"/>
    <x v="1"/>
    <s v="FUR-FU-10000629"/>
    <s v="Furniture"/>
    <x v="3"/>
    <s v="9-3/4 Diameter Round Wall Clock"/>
    <n v="11.032"/>
    <n v="1"/>
    <n v="3.0337999999999998"/>
    <x v="3"/>
    <x v="1"/>
  </r>
  <r>
    <s v="CA-2017-128076"/>
    <x v="611"/>
    <d v="2017-02-07T00:00:00"/>
    <x v="1"/>
    <s v="BO-11350"/>
    <s v="Bill Overfelt"/>
    <x v="1"/>
    <s v="United States"/>
    <x v="53"/>
    <x v="2"/>
    <x v="1"/>
    <s v="FUR-FU-10000293"/>
    <s v="Furniture"/>
    <x v="3"/>
    <s v="Eldon Antistatic Chair Mats for Low to Medium Pile Carpets"/>
    <n v="210.58"/>
    <n v="2"/>
    <n v="12.6348"/>
    <x v="2"/>
    <x v="11"/>
  </r>
  <r>
    <s v="CA-2016-114307"/>
    <x v="249"/>
    <d v="2016-07-26T00:00:00"/>
    <x v="1"/>
    <s v="MF-17665"/>
    <s v="Maureen Fritzler"/>
    <x v="1"/>
    <s v="United States"/>
    <x v="11"/>
    <x v="32"/>
    <x v="2"/>
    <s v="FUR-FU-10000794"/>
    <s v="Furniture"/>
    <x v="3"/>
    <s v="Eldon Stackable Tray, Side-Load, Legal, Smoke"/>
    <n v="27.42"/>
    <n v="3"/>
    <n v="9.3228000000000009"/>
    <x v="4"/>
    <x v="3"/>
  </r>
  <r>
    <s v="CA-2016-151148"/>
    <x v="51"/>
    <d v="2016-09-13T00:00:00"/>
    <x v="3"/>
    <s v="PO-19180"/>
    <s v="Philisse Overcash"/>
    <x v="2"/>
    <s v="United States"/>
    <x v="74"/>
    <x v="12"/>
    <x v="1"/>
    <s v="FUR-CH-10002304"/>
    <s v="Furniture"/>
    <x v="1"/>
    <s v="Global Stack Chair without Arms, Black"/>
    <n v="83.135999999999996"/>
    <n v="4"/>
    <n v="5.1959999999999997"/>
    <x v="5"/>
    <x v="4"/>
  </r>
  <r>
    <s v="CA-2016-102813"/>
    <x v="192"/>
    <d v="2016-07-03T00:00:00"/>
    <x v="2"/>
    <s v="EA-14035"/>
    <s v="Erin Ashbrook"/>
    <x v="1"/>
    <s v="United States"/>
    <x v="156"/>
    <x v="5"/>
    <x v="3"/>
    <s v="FUR-CH-10000665"/>
    <s v="Furniture"/>
    <x v="1"/>
    <s v="Global Airflow Leather Mesh Back Chair, Black"/>
    <n v="528.42999999999995"/>
    <n v="5"/>
    <n v="0"/>
    <x v="5"/>
    <x v="3"/>
  </r>
  <r>
    <s v="CA-2017-135377"/>
    <x v="838"/>
    <d v="2017-12-18T00:00:00"/>
    <x v="1"/>
    <s v="BP-11095"/>
    <s v="Bart Pistole"/>
    <x v="1"/>
    <s v="United States"/>
    <x v="13"/>
    <x v="7"/>
    <x v="2"/>
    <s v="FUR-BO-10004015"/>
    <s v="Furniture"/>
    <x v="0"/>
    <s v="Bush Andora Bookcase, Maple/Graphite Gray Finish"/>
    <n v="287.976"/>
    <n v="3"/>
    <n v="7.1993999999999998"/>
    <x v="2"/>
    <x v="5"/>
  </r>
  <r>
    <s v="CA-2015-133585"/>
    <x v="822"/>
    <d v="2015-03-04T00:00:00"/>
    <x v="2"/>
    <s v="CM-12715"/>
    <s v="Craig Molinari"/>
    <x v="1"/>
    <s v="United States"/>
    <x v="6"/>
    <x v="5"/>
    <x v="3"/>
    <s v="FUR-BO-10001811"/>
    <s v="Furniture"/>
    <x v="0"/>
    <s v="Atlantic Metals Mobile 5-Shelf Bookcases, Custom Colors"/>
    <n v="1227.9983999999999"/>
    <n v="6"/>
    <n v="-36.117600000000003"/>
    <x v="0"/>
    <x v="9"/>
  </r>
  <r>
    <s v="CA-2016-116911"/>
    <x v="839"/>
    <d v="2016-09-20T00:00:00"/>
    <x v="1"/>
    <s v="JD-16150"/>
    <s v="Justin Deggeller"/>
    <x v="1"/>
    <s v="United States"/>
    <x v="352"/>
    <x v="42"/>
    <x v="1"/>
    <s v="FUR-TA-10003473"/>
    <s v="Furniture"/>
    <x v="2"/>
    <s v="Bretford Rectangular Conference Table Tops"/>
    <n v="1128.3900000000001"/>
    <n v="3"/>
    <n v="259.52969999999999"/>
    <x v="2"/>
    <x v="4"/>
  </r>
  <r>
    <s v="CA-2017-126914"/>
    <x v="836"/>
    <d v="2017-06-19T00:00:00"/>
    <x v="1"/>
    <s v="JE-15715"/>
    <s v="Joe Elijah"/>
    <x v="0"/>
    <s v="United States"/>
    <x v="91"/>
    <x v="30"/>
    <x v="0"/>
    <s v="FUR-CH-10000847"/>
    <s v="Furniture"/>
    <x v="1"/>
    <s v="Global Executive Mid-Back Manager's Chair"/>
    <n v="698.35199999999998"/>
    <n v="3"/>
    <n v="52.376399999999997"/>
    <x v="4"/>
    <x v="2"/>
  </r>
  <r>
    <s v="CA-2017-126914"/>
    <x v="836"/>
    <d v="2017-06-19T00:00:00"/>
    <x v="1"/>
    <s v="JE-15715"/>
    <s v="Joe Elijah"/>
    <x v="0"/>
    <s v="United States"/>
    <x v="91"/>
    <x v="30"/>
    <x v="0"/>
    <s v="FUR-BO-10000468"/>
    <s v="Furniture"/>
    <x v="0"/>
    <s v="O'Sullivan 2-Shelf Heavy-Duty Bookcases"/>
    <n v="77.727999999999994"/>
    <n v="2"/>
    <n v="-3.8864000000000001"/>
    <x v="4"/>
    <x v="2"/>
  </r>
  <r>
    <s v="CA-2016-140935"/>
    <x v="480"/>
    <d v="2016-11-12T00:00:00"/>
    <x v="2"/>
    <s v="AB-10015"/>
    <s v="Aaron Bergman"/>
    <x v="0"/>
    <s v="United States"/>
    <x v="258"/>
    <x v="37"/>
    <x v="3"/>
    <s v="FUR-BO-10003966"/>
    <s v="Furniture"/>
    <x v="0"/>
    <s v="Sauder Facets Collection Library, Sky Alder Finish"/>
    <n v="341.96"/>
    <n v="2"/>
    <n v="54.7136"/>
    <x v="3"/>
    <x v="0"/>
  </r>
  <r>
    <s v="CA-2016-113082"/>
    <x v="51"/>
    <d v="2016-09-16T00:00:00"/>
    <x v="1"/>
    <s v="MC-17590"/>
    <s v="Matt Collister"/>
    <x v="1"/>
    <s v="United States"/>
    <x v="353"/>
    <x v="7"/>
    <x v="2"/>
    <s v="FUR-FU-10002813"/>
    <s v="Furniture"/>
    <x v="3"/>
    <s v="DAX Contemporary Wood Frame with Silver Metal Mat, Desktop, 11 x 14 Size"/>
    <n v="40.479999999999997"/>
    <n v="2"/>
    <n v="14.572800000000001"/>
    <x v="4"/>
    <x v="4"/>
  </r>
  <r>
    <s v="CA-2015-127754"/>
    <x v="155"/>
    <d v="2015-07-31T00:00:00"/>
    <x v="1"/>
    <s v="CK-12760"/>
    <s v="Cyma Kinney"/>
    <x v="1"/>
    <s v="United States"/>
    <x v="110"/>
    <x v="22"/>
    <x v="1"/>
    <s v="FUR-CH-10003199"/>
    <s v="Furniture"/>
    <x v="1"/>
    <s v="Office Star - Contemporary Task Swivel Chair"/>
    <n v="266.35199999999998"/>
    <n v="3"/>
    <n v="13.317600000000001"/>
    <x v="2"/>
    <x v="3"/>
  </r>
  <r>
    <s v="CA-2015-145324"/>
    <x v="840"/>
    <d v="2015-11-19T00:00:00"/>
    <x v="1"/>
    <s v="DH-13675"/>
    <s v="Duane Huffman"/>
    <x v="2"/>
    <s v="United States"/>
    <x v="95"/>
    <x v="25"/>
    <x v="0"/>
    <s v="FUR-FU-10002759"/>
    <s v="Furniture"/>
    <x v="3"/>
    <s v="12-1/2 Diameter Round Wall Clock"/>
    <n v="39.96"/>
    <n v="2"/>
    <n v="14.3856"/>
    <x v="4"/>
    <x v="0"/>
  </r>
  <r>
    <s v="CA-2015-140718"/>
    <x v="473"/>
    <d v="2015-07-04T00:00:00"/>
    <x v="2"/>
    <s v="FA-14230"/>
    <s v="Frank Atkinson"/>
    <x v="1"/>
    <s v="United States"/>
    <x v="168"/>
    <x v="30"/>
    <x v="0"/>
    <s v="FUR-FU-10000076"/>
    <s v="Furniture"/>
    <x v="3"/>
    <s v="24-Hour Round Wall Clock"/>
    <n v="159.84"/>
    <n v="10"/>
    <n v="45.954000000000001"/>
    <x v="3"/>
    <x v="3"/>
  </r>
  <r>
    <s v="CA-2015-125934"/>
    <x v="795"/>
    <d v="2015-09-18T00:00:00"/>
    <x v="1"/>
    <s v="SN-20560"/>
    <s v="Skye Norling"/>
    <x v="2"/>
    <s v="United States"/>
    <x v="309"/>
    <x v="18"/>
    <x v="2"/>
    <s v="FUR-FU-10002107"/>
    <s v="Furniture"/>
    <x v="3"/>
    <s v="Eldon Pizzaz Desk Accessories"/>
    <n v="8.92"/>
    <n v="4"/>
    <n v="3.9247999999999998"/>
    <x v="1"/>
    <x v="4"/>
  </r>
  <r>
    <s v="CA-2014-120411"/>
    <x v="23"/>
    <d v="2014-09-23T00:00:00"/>
    <x v="2"/>
    <s v="SB-20185"/>
    <s v="Sarah Brown"/>
    <x v="0"/>
    <s v="United States"/>
    <x v="9"/>
    <x v="8"/>
    <x v="3"/>
    <s v="FUR-BO-10004218"/>
    <s v="Furniture"/>
    <x v="0"/>
    <s v="Bush Heritage Pine Collection 5-Shelf Bookcase, Albany Pine Finish, *Special Order"/>
    <n v="493.43"/>
    <n v="5"/>
    <n v="-70.489999999999995"/>
    <x v="0"/>
    <x v="4"/>
  </r>
  <r>
    <s v="CA-2017-101805"/>
    <x v="451"/>
    <d v="2017-12-06T00:00:00"/>
    <x v="1"/>
    <s v="SH-19975"/>
    <s v="Sally Hughsby"/>
    <x v="1"/>
    <s v="United States"/>
    <x v="15"/>
    <x v="13"/>
    <x v="1"/>
    <s v="FUR-FU-10000023"/>
    <s v="Furniture"/>
    <x v="3"/>
    <s v="Eldon Wave Desk Accessories"/>
    <n v="70.680000000000007"/>
    <n v="12"/>
    <n v="31.0992"/>
    <x v="2"/>
    <x v="5"/>
  </r>
  <r>
    <s v="CA-2017-103968"/>
    <x v="451"/>
    <d v="2017-12-07T00:00:00"/>
    <x v="1"/>
    <s v="ML-17755"/>
    <s v="Max Ludwig"/>
    <x v="2"/>
    <s v="United States"/>
    <x v="354"/>
    <x v="2"/>
    <x v="1"/>
    <s v="FUR-FU-10003394"/>
    <s v="Furniture"/>
    <x v="3"/>
    <s v="Tenex &quot;The Solids&quot; Textured Chair Mats"/>
    <n v="629.64"/>
    <n v="9"/>
    <n v="107.03879999999999"/>
    <x v="6"/>
    <x v="5"/>
  </r>
  <r>
    <s v="CA-2016-162159"/>
    <x v="751"/>
    <d v="2016-09-18T00:00:00"/>
    <x v="2"/>
    <s v="CR-12625"/>
    <s v="Corey Roper"/>
    <x v="2"/>
    <s v="United States"/>
    <x v="29"/>
    <x v="24"/>
    <x v="0"/>
    <s v="FUR-CH-10001146"/>
    <s v="Furniture"/>
    <x v="1"/>
    <s v="Global Value Mid-Back Manager's Chair, Gray"/>
    <n v="121.78"/>
    <n v="2"/>
    <n v="30.445"/>
    <x v="3"/>
    <x v="4"/>
  </r>
  <r>
    <s v="CA-2015-111038"/>
    <x v="239"/>
    <d v="2015-12-06T00:00:00"/>
    <x v="1"/>
    <s v="LC-16960"/>
    <s v="Lindsay Castell"/>
    <x v="2"/>
    <s v="United States"/>
    <x v="53"/>
    <x v="2"/>
    <x v="1"/>
    <s v="FUR-CH-10003973"/>
    <s v="Furniture"/>
    <x v="1"/>
    <s v="GuestStacker Chair with Chrome Finish Legs"/>
    <n v="2676.672"/>
    <n v="9"/>
    <n v="267.66719999999998"/>
    <x v="2"/>
    <x v="5"/>
  </r>
  <r>
    <s v="CA-2014-124723"/>
    <x v="31"/>
    <d v="2014-08-12T00:00:00"/>
    <x v="1"/>
    <s v="GZ-14470"/>
    <s v="Gary Zandusky"/>
    <x v="0"/>
    <s v="United States"/>
    <x v="303"/>
    <x v="5"/>
    <x v="3"/>
    <s v="FUR-TA-10001307"/>
    <s v="Furniture"/>
    <x v="2"/>
    <s v="SAFCO PlanMaster Heigh-Adjustable Drafting Table Base, 43w x 30d x 30-37h, Black"/>
    <n v="489.23"/>
    <n v="2"/>
    <n v="41.933999999999997"/>
    <x v="1"/>
    <x v="10"/>
  </r>
  <r>
    <s v="CA-2016-167241"/>
    <x v="404"/>
    <d v="2016-08-22T00:00:00"/>
    <x v="1"/>
    <s v="BD-11320"/>
    <s v="Bill Donatelli"/>
    <x v="0"/>
    <s v="United States"/>
    <x v="2"/>
    <x v="2"/>
    <x v="1"/>
    <s v="FUR-FU-10004071"/>
    <s v="Furniture"/>
    <x v="3"/>
    <s v="Luxo Professional Magnifying Clamp-On Fluorescent Lamps"/>
    <n v="312.02999999999997"/>
    <n v="3"/>
    <n v="43.684199999999997"/>
    <x v="1"/>
    <x v="10"/>
  </r>
  <r>
    <s v="CA-2016-150483"/>
    <x v="841"/>
    <d v="2016-06-04T00:00:00"/>
    <x v="1"/>
    <s v="BP-11290"/>
    <s v="Beth Paige"/>
    <x v="0"/>
    <s v="United States"/>
    <x v="42"/>
    <x v="8"/>
    <x v="3"/>
    <s v="FUR-FU-10001379"/>
    <s v="Furniture"/>
    <x v="3"/>
    <s v="Executive Impressions 16-1/2&quot; Circular Wall Clock"/>
    <n v="32.064"/>
    <n v="3"/>
    <n v="-12.8256"/>
    <x v="4"/>
    <x v="7"/>
  </r>
  <r>
    <s v="CA-2016-150483"/>
    <x v="841"/>
    <d v="2016-06-04T00:00:00"/>
    <x v="1"/>
    <s v="BP-11290"/>
    <s v="Beth Paige"/>
    <x v="0"/>
    <s v="United States"/>
    <x v="42"/>
    <x v="8"/>
    <x v="3"/>
    <s v="FUR-CH-10000422"/>
    <s v="Furniture"/>
    <x v="1"/>
    <s v="Global Highback Leather Tilter in Burgundy"/>
    <n v="191.07900000000001"/>
    <n v="3"/>
    <n v="-38.215800000000002"/>
    <x v="4"/>
    <x v="7"/>
  </r>
  <r>
    <s v="CA-2014-160276"/>
    <x v="842"/>
    <d v="2014-04-08T00:00:00"/>
    <x v="1"/>
    <s v="AH-10690"/>
    <s v="Anna HŠberlin"/>
    <x v="1"/>
    <s v="United States"/>
    <x v="304"/>
    <x v="25"/>
    <x v="0"/>
    <s v="FUR-FU-10003192"/>
    <s v="Furniture"/>
    <x v="3"/>
    <s v="Luxo Adjustable Task Clamp Lamp"/>
    <n v="177.68"/>
    <n v="2"/>
    <n v="46.196800000000003"/>
    <x v="6"/>
    <x v="6"/>
  </r>
  <r>
    <s v="CA-2016-145709"/>
    <x v="803"/>
    <d v="2016-10-08T00:00:00"/>
    <x v="1"/>
    <s v="AH-10690"/>
    <s v="Anna HŠberlin"/>
    <x v="1"/>
    <s v="United States"/>
    <x v="355"/>
    <x v="1"/>
    <x v="0"/>
    <s v="FUR-FU-10002885"/>
    <s v="Furniture"/>
    <x v="3"/>
    <s v="Magna Visual Magnetic Picture Hangers"/>
    <n v="11.568"/>
    <n v="3"/>
    <n v="2.6027999999999998"/>
    <x v="4"/>
    <x v="1"/>
  </r>
  <r>
    <s v="CA-2016-168032"/>
    <x v="772"/>
    <d v="2016-02-03T00:00:00"/>
    <x v="1"/>
    <s v="DF-13135"/>
    <s v="David Flashing"/>
    <x v="0"/>
    <s v="United States"/>
    <x v="88"/>
    <x v="8"/>
    <x v="3"/>
    <s v="FUR-TA-10004256"/>
    <s v="Furniture"/>
    <x v="2"/>
    <s v="Bretford ÒJust In TimeÓ Height-Adjustable Multi-Task Work Tables"/>
    <n v="626.1"/>
    <n v="3"/>
    <n v="-538.44600000000003"/>
    <x v="4"/>
    <x v="8"/>
  </r>
  <r>
    <s v="US-2015-168704"/>
    <x v="315"/>
    <d v="2015-04-17T00:00:00"/>
    <x v="1"/>
    <s v="FP-14320"/>
    <s v="Frank Preis"/>
    <x v="0"/>
    <s v="United States"/>
    <x v="156"/>
    <x v="5"/>
    <x v="3"/>
    <s v="FUR-TA-10000688"/>
    <s v="Furniture"/>
    <x v="2"/>
    <s v="Chromcraft Bull-Nose Wood Round Conference Table Top, Wood Base"/>
    <n v="609.98"/>
    <n v="4"/>
    <n v="-113.282"/>
    <x v="4"/>
    <x v="6"/>
  </r>
  <r>
    <s v="US-2015-168704"/>
    <x v="315"/>
    <d v="2015-04-17T00:00:00"/>
    <x v="1"/>
    <s v="FP-14320"/>
    <s v="Frank Preis"/>
    <x v="0"/>
    <s v="United States"/>
    <x v="156"/>
    <x v="5"/>
    <x v="3"/>
    <s v="FUR-TA-10002530"/>
    <s v="Furniture"/>
    <x v="2"/>
    <s v="Iceberg OfficeWorks 42&quot; Round Tables"/>
    <n v="211.37200000000001"/>
    <n v="2"/>
    <n v="-45.293999999999997"/>
    <x v="4"/>
    <x v="6"/>
  </r>
  <r>
    <s v="CA-2017-143252"/>
    <x v="186"/>
    <d v="2017-12-24T00:00:00"/>
    <x v="1"/>
    <s v="HE-14800"/>
    <s v="Harold Engle"/>
    <x v="1"/>
    <s v="United States"/>
    <x v="79"/>
    <x v="16"/>
    <x v="3"/>
    <s v="FUR-FU-10001057"/>
    <s v="Furniture"/>
    <x v="3"/>
    <s v="Tensor Track Tree Floor Lamp"/>
    <n v="99.95"/>
    <n v="5"/>
    <n v="22.988499999999998"/>
    <x v="6"/>
    <x v="5"/>
  </r>
  <r>
    <s v="CA-2016-102134"/>
    <x v="269"/>
    <d v="2016-03-19T00:00:00"/>
    <x v="1"/>
    <s v="SP-20545"/>
    <s v="Sibella Parks"/>
    <x v="1"/>
    <s v="United States"/>
    <x v="356"/>
    <x v="16"/>
    <x v="3"/>
    <s v="FUR-FU-10003724"/>
    <s v="Furniture"/>
    <x v="3"/>
    <s v="Westinghouse Clip-On Gooseneck Lamps"/>
    <n v="16.739999999999998"/>
    <n v="2"/>
    <n v="4.3524000000000003"/>
    <x v="2"/>
    <x v="9"/>
  </r>
  <r>
    <s v="CA-2017-111717"/>
    <x v="843"/>
    <d v="2017-10-16T00:00:00"/>
    <x v="1"/>
    <s v="SW-20245"/>
    <s v="Scot Wooten"/>
    <x v="0"/>
    <s v="United States"/>
    <x v="14"/>
    <x v="8"/>
    <x v="3"/>
    <s v="FUR-CH-10001545"/>
    <s v="Furniture"/>
    <x v="1"/>
    <s v="Hon Comfortask Task/Swivel Chairs"/>
    <n v="239.358"/>
    <n v="3"/>
    <n v="-47.871600000000001"/>
    <x v="6"/>
    <x v="1"/>
  </r>
  <r>
    <s v="CA-2017-150910"/>
    <x v="313"/>
    <d v="2017-12-28T00:00:00"/>
    <x v="1"/>
    <s v="JL-15130"/>
    <s v="Jack Lebron"/>
    <x v="0"/>
    <s v="United States"/>
    <x v="38"/>
    <x v="9"/>
    <x v="0"/>
    <s v="FUR-TA-10002903"/>
    <s v="Furniture"/>
    <x v="2"/>
    <s v="Bevis Round Bullnose 29&quot; High Table Top"/>
    <n v="934.95600000000002"/>
    <n v="6"/>
    <n v="-249.32159999999999"/>
    <x v="6"/>
    <x v="5"/>
  </r>
  <r>
    <s v="CA-2014-156790"/>
    <x v="98"/>
    <d v="2014-08-10T00:00:00"/>
    <x v="0"/>
    <s v="VG-21790"/>
    <s v="Vivek Gonzalez"/>
    <x v="0"/>
    <s v="United States"/>
    <x v="51"/>
    <x v="1"/>
    <x v="0"/>
    <s v="FUR-BO-10000468"/>
    <s v="Furniture"/>
    <x v="0"/>
    <s v="O'Sullivan 2-Shelf Heavy-Duty Bookcases"/>
    <n v="155.45599999999999"/>
    <n v="4"/>
    <n v="-7.7728000000000002"/>
    <x v="3"/>
    <x v="10"/>
  </r>
  <r>
    <s v="CA-2017-105620"/>
    <x v="19"/>
    <d v="2017-12-28T00:00:00"/>
    <x v="2"/>
    <s v="JH-15430"/>
    <s v="Jennifer Halladay"/>
    <x v="0"/>
    <s v="United States"/>
    <x v="173"/>
    <x v="1"/>
    <x v="0"/>
    <s v="FUR-FU-10004963"/>
    <s v="Furniture"/>
    <x v="3"/>
    <s v="Eldon 400 Class Desk Accessories, Black Carbon"/>
    <n v="21"/>
    <n v="3"/>
    <n v="5.7750000000000004"/>
    <x v="0"/>
    <x v="5"/>
  </r>
  <r>
    <s v="CA-2017-150266"/>
    <x v="608"/>
    <d v="2017-11-30T00:00:00"/>
    <x v="1"/>
    <s v="RO-19780"/>
    <s v="Rose O'Brian"/>
    <x v="0"/>
    <s v="United States"/>
    <x v="6"/>
    <x v="5"/>
    <x v="3"/>
    <s v="FUR-CH-10002126"/>
    <s v="Furniture"/>
    <x v="1"/>
    <s v="Hon Deluxe Fabric Upholstered Stacking Chairs"/>
    <n v="853.93"/>
    <n v="5"/>
    <n v="-24.398"/>
    <x v="2"/>
    <x v="0"/>
  </r>
  <r>
    <s v="CA-2016-157280"/>
    <x v="541"/>
    <d v="2016-11-07T00:00:00"/>
    <x v="2"/>
    <s v="LW-17125"/>
    <s v="Liz Willingham"/>
    <x v="0"/>
    <s v="United States"/>
    <x v="304"/>
    <x v="25"/>
    <x v="0"/>
    <s v="FUR-FU-10004665"/>
    <s v="Furniture"/>
    <x v="3"/>
    <s v="3M Polarizing Task Lamp with Clamp Arm, Light Gray"/>
    <n v="273.95999999999998"/>
    <n v="2"/>
    <n v="71.229600000000005"/>
    <x v="3"/>
    <x v="0"/>
  </r>
  <r>
    <s v="CA-2016-157280"/>
    <x v="541"/>
    <d v="2016-11-07T00:00:00"/>
    <x v="2"/>
    <s v="LW-17125"/>
    <s v="Liz Willingham"/>
    <x v="0"/>
    <s v="United States"/>
    <x v="304"/>
    <x v="25"/>
    <x v="0"/>
    <s v="FUR-FU-10003806"/>
    <s v="Furniture"/>
    <x v="3"/>
    <s v="Tenex Chairmat w/ Average Lip, 45&quot; x 53&quot;"/>
    <n v="756.8"/>
    <n v="5"/>
    <n v="75.680000000000007"/>
    <x v="3"/>
    <x v="0"/>
  </r>
  <r>
    <s v="CA-2016-134180"/>
    <x v="361"/>
    <d v="2016-11-07T00:00:00"/>
    <x v="1"/>
    <s v="JP-16135"/>
    <s v="Julie Prescott"/>
    <x v="2"/>
    <s v="United States"/>
    <x v="3"/>
    <x v="3"/>
    <x v="2"/>
    <s v="FUR-CH-10004886"/>
    <s v="Furniture"/>
    <x v="1"/>
    <s v="Bevis Steel Folding Chairs"/>
    <n v="470.15499999999997"/>
    <n v="7"/>
    <n v="-13.433"/>
    <x v="4"/>
    <x v="0"/>
  </r>
  <r>
    <s v="CA-2017-122308"/>
    <x v="781"/>
    <d v="2017-03-28T00:00:00"/>
    <x v="1"/>
    <s v="MV-17485"/>
    <s v="Mark Van Huff"/>
    <x v="0"/>
    <s v="United States"/>
    <x v="13"/>
    <x v="7"/>
    <x v="2"/>
    <s v="FUR-CH-10000665"/>
    <s v="Furniture"/>
    <x v="1"/>
    <s v="Global Airflow Leather Mesh Back Chair, Black"/>
    <n v="271.76400000000001"/>
    <n v="2"/>
    <n v="60.392000000000003"/>
    <x v="4"/>
    <x v="9"/>
  </r>
  <r>
    <s v="CA-2017-159226"/>
    <x v="844"/>
    <d v="2017-04-27T00:00:00"/>
    <x v="0"/>
    <s v="RL-19615"/>
    <s v="Rob Lucas"/>
    <x v="0"/>
    <s v="United States"/>
    <x v="2"/>
    <x v="2"/>
    <x v="1"/>
    <s v="FUR-BO-10004709"/>
    <s v="Furniture"/>
    <x v="0"/>
    <s v="Bush Westfield Collection Bookcases, Medium Cherry Finish"/>
    <n v="344.98099999999999"/>
    <n v="7"/>
    <n v="28.4102"/>
    <x v="3"/>
    <x v="6"/>
  </r>
  <r>
    <s v="CA-2017-156622"/>
    <x v="68"/>
    <d v="2017-11-26T00:00:00"/>
    <x v="2"/>
    <s v="JP-15460"/>
    <s v="Jennifer Patt"/>
    <x v="1"/>
    <s v="United States"/>
    <x v="144"/>
    <x v="5"/>
    <x v="3"/>
    <s v="FUR-TA-10003008"/>
    <s v="Furniture"/>
    <x v="2"/>
    <s v="Lesro Round Back Collection Coffee Table, End Table"/>
    <n v="127.785"/>
    <n v="1"/>
    <n v="-31.0335"/>
    <x v="0"/>
    <x v="0"/>
  </r>
  <r>
    <s v="CA-2016-110898"/>
    <x v="845"/>
    <d v="2016-03-12T00:00:00"/>
    <x v="1"/>
    <s v="LC-16870"/>
    <s v="Lena Cacioppo"/>
    <x v="0"/>
    <s v="United States"/>
    <x v="9"/>
    <x v="8"/>
    <x v="3"/>
    <s v="FUR-FU-10003773"/>
    <s v="Furniture"/>
    <x v="3"/>
    <s v="Eldon Cleatmat Plus Chair Mats for High Pile Carpets"/>
    <n v="159.04"/>
    <n v="5"/>
    <n v="-194.82400000000001"/>
    <x v="6"/>
    <x v="9"/>
  </r>
  <r>
    <s v="CA-2016-110898"/>
    <x v="845"/>
    <d v="2016-03-12T00:00:00"/>
    <x v="1"/>
    <s v="LC-16870"/>
    <s v="Lena Cacioppo"/>
    <x v="0"/>
    <s v="United States"/>
    <x v="9"/>
    <x v="8"/>
    <x v="3"/>
    <s v="FUR-TA-10000849"/>
    <s v="Furniture"/>
    <x v="2"/>
    <s v="Bevis Rectangular Conference Tables"/>
    <n v="145.97999999999999"/>
    <n v="2"/>
    <n v="-99.266400000000004"/>
    <x v="6"/>
    <x v="9"/>
  </r>
  <r>
    <s v="CA-2015-123092"/>
    <x v="62"/>
    <d v="2015-12-07T00:00:00"/>
    <x v="1"/>
    <s v="JG-15115"/>
    <s v="Jack Garza"/>
    <x v="0"/>
    <s v="United States"/>
    <x v="51"/>
    <x v="30"/>
    <x v="0"/>
    <s v="FUR-FU-10000222"/>
    <s v="Furniture"/>
    <x v="3"/>
    <s v="Seth Thomas 16&quot; Steel Case Clock"/>
    <n v="77.951999999999998"/>
    <n v="3"/>
    <n v="12.667199999999999"/>
    <x v="4"/>
    <x v="5"/>
  </r>
  <r>
    <s v="US-2015-128587"/>
    <x v="37"/>
    <d v="2015-12-30T00:00:00"/>
    <x v="1"/>
    <s v="HM-14860"/>
    <s v="Harry Marie"/>
    <x v="1"/>
    <s v="United States"/>
    <x v="76"/>
    <x v="23"/>
    <x v="3"/>
    <s v="FUR-FU-10003026"/>
    <s v="Furniture"/>
    <x v="3"/>
    <s v="Eldon Regeneration Recycled Desk Accessories, Black"/>
    <n v="9.68"/>
    <n v="2"/>
    <n v="3.7751999999999999"/>
    <x v="6"/>
    <x v="5"/>
  </r>
  <r>
    <s v="CA-2017-159100"/>
    <x v="259"/>
    <d v="2017-10-21T00:00:00"/>
    <x v="1"/>
    <s v="VP-21760"/>
    <s v="Victoria Pisteka"/>
    <x v="1"/>
    <s v="United States"/>
    <x v="11"/>
    <x v="9"/>
    <x v="0"/>
    <s v="FUR-TA-10001950"/>
    <s v="Furniture"/>
    <x v="2"/>
    <s v="Balt Solid Wood Round Tables"/>
    <n v="1875.258"/>
    <n v="7"/>
    <n v="-968.88329999999996"/>
    <x v="2"/>
    <x v="1"/>
  </r>
  <r>
    <s v="CA-2017-137785"/>
    <x v="846"/>
    <d v="2017-05-17T00:00:00"/>
    <x v="1"/>
    <s v="MH-18115"/>
    <s v="Mick Hernandez"/>
    <x v="2"/>
    <s v="United States"/>
    <x v="3"/>
    <x v="3"/>
    <x v="2"/>
    <s v="FUR-CH-10001482"/>
    <s v="Furniture"/>
    <x v="1"/>
    <s v="Office Star - Mesh Screen back chair with Vinyl seat"/>
    <n v="458.43"/>
    <n v="5"/>
    <n v="-124.431"/>
    <x v="4"/>
    <x v="7"/>
  </r>
  <r>
    <s v="CA-2017-107825"/>
    <x v="414"/>
    <d v="2017-11-18T00:00:00"/>
    <x v="3"/>
    <s v="NB-18655"/>
    <s v="Nona Balk"/>
    <x v="1"/>
    <s v="United States"/>
    <x v="79"/>
    <x v="16"/>
    <x v="3"/>
    <s v="FUR-FU-10000206"/>
    <s v="Furniture"/>
    <x v="3"/>
    <s v="GE General Purpose, Extra Long Life, Showcase &amp; Floodlight Incandescent Bulbs"/>
    <n v="5.82"/>
    <n v="2"/>
    <n v="2.7353999999999998"/>
    <x v="7"/>
    <x v="0"/>
  </r>
  <r>
    <s v="CA-2016-121447"/>
    <x v="629"/>
    <d v="2016-02-22T00:00:00"/>
    <x v="2"/>
    <s v="EA-14035"/>
    <s v="Erin Ashbrook"/>
    <x v="1"/>
    <s v="United States"/>
    <x v="13"/>
    <x v="7"/>
    <x v="2"/>
    <s v="FUR-FU-10001861"/>
    <s v="Furniture"/>
    <x v="3"/>
    <s v="Floodlight Indoor Halogen Bulbs, 1 Bulb per Pack, 60 Watts"/>
    <n v="135.80000000000001"/>
    <n v="7"/>
    <n v="66.542000000000002"/>
    <x v="5"/>
    <x v="11"/>
  </r>
  <r>
    <s v="CA-2014-100706"/>
    <x v="439"/>
    <d v="2014-12-18T00:00:00"/>
    <x v="0"/>
    <s v="LE-16810"/>
    <s v="Laurel Elliston"/>
    <x v="0"/>
    <s v="United States"/>
    <x v="76"/>
    <x v="25"/>
    <x v="0"/>
    <s v="FUR-FU-10002268"/>
    <s v="Furniture"/>
    <x v="3"/>
    <s v="Ultra Door Push Plate"/>
    <n v="29.46"/>
    <n v="6"/>
    <n v="9.7218"/>
    <x v="3"/>
    <x v="5"/>
  </r>
  <r>
    <s v="US-2016-141880"/>
    <x v="847"/>
    <d v="2016-08-23T00:00:00"/>
    <x v="2"/>
    <s v="TC-21475"/>
    <s v="Tony Chapman"/>
    <x v="2"/>
    <s v="United States"/>
    <x v="200"/>
    <x v="12"/>
    <x v="1"/>
    <s v="FUR-FU-10001979"/>
    <s v="Furniture"/>
    <x v="3"/>
    <s v="Dana Halogen Swing-Arm Architect Lamp"/>
    <n v="98.328000000000003"/>
    <n v="3"/>
    <n v="9.8328000000000007"/>
    <x v="5"/>
    <x v="10"/>
  </r>
  <r>
    <s v="CA-2015-165799"/>
    <x v="330"/>
    <d v="2015-07-02T00:00:00"/>
    <x v="2"/>
    <s v="SG-20470"/>
    <s v="Sheri Gordon"/>
    <x v="0"/>
    <s v="United States"/>
    <x v="13"/>
    <x v="7"/>
    <x v="2"/>
    <s v="FUR-CH-10001482"/>
    <s v="Furniture"/>
    <x v="1"/>
    <s v="Office Star - Mesh Screen back chair with Vinyl seat"/>
    <n v="117.88200000000001"/>
    <n v="1"/>
    <n v="1.3098000000000001"/>
    <x v="0"/>
    <x v="2"/>
  </r>
  <r>
    <s v="CA-2016-102127"/>
    <x v="517"/>
    <d v="2016-07-02T00:00:00"/>
    <x v="1"/>
    <s v="VP-21760"/>
    <s v="Victoria Pisteka"/>
    <x v="1"/>
    <s v="United States"/>
    <x v="13"/>
    <x v="7"/>
    <x v="2"/>
    <s v="FUR-FU-10003976"/>
    <s v="Furniture"/>
    <x v="3"/>
    <s v="DAX Executive Solid Wood Document Frame, Desktop or Hang, Mahogany, 5 x 7"/>
    <n v="37.74"/>
    <n v="3"/>
    <n v="12.8316"/>
    <x v="6"/>
    <x v="2"/>
  </r>
  <r>
    <s v="US-2016-152415"/>
    <x v="334"/>
    <d v="2016-09-22T00:00:00"/>
    <x v="1"/>
    <s v="PO-18865"/>
    <s v="Patrick O'Donnell"/>
    <x v="0"/>
    <s v="United States"/>
    <x v="357"/>
    <x v="20"/>
    <x v="2"/>
    <s v="FUR-FU-10002597"/>
    <s v="Furniture"/>
    <x v="3"/>
    <s v="C-Line Magnetic Cubicle Keepers, Clear Polypropylene"/>
    <n v="14.82"/>
    <n v="3"/>
    <n v="6.2244000000000002"/>
    <x v="2"/>
    <x v="4"/>
  </r>
  <r>
    <s v="US-2016-152415"/>
    <x v="334"/>
    <d v="2016-09-22T00:00:00"/>
    <x v="1"/>
    <s v="PO-18865"/>
    <s v="Patrick O'Donnell"/>
    <x v="0"/>
    <s v="United States"/>
    <x v="357"/>
    <x v="20"/>
    <x v="2"/>
    <s v="FUR-FU-10004864"/>
    <s v="Furniture"/>
    <x v="3"/>
    <s v="Howard Miller 14-1/2&quot; Diameter Chrome Round Wall Clock"/>
    <n v="191.82"/>
    <n v="3"/>
    <n v="61.382399999999997"/>
    <x v="2"/>
    <x v="4"/>
  </r>
  <r>
    <s v="CA-2017-128041"/>
    <x v="449"/>
    <d v="2017-09-01T00:00:00"/>
    <x v="3"/>
    <s v="RW-19540"/>
    <s v="Rick Wilson"/>
    <x v="1"/>
    <s v="United States"/>
    <x v="15"/>
    <x v="13"/>
    <x v="1"/>
    <s v="FUR-TA-10002607"/>
    <s v="Furniture"/>
    <x v="2"/>
    <s v="KI Conference Tables"/>
    <n v="283.56"/>
    <n v="4"/>
    <n v="45.369599999999998"/>
    <x v="7"/>
    <x v="4"/>
  </r>
  <r>
    <s v="CA-2017-105823"/>
    <x v="848"/>
    <d v="2017-06-26T00:00:00"/>
    <x v="1"/>
    <s v="RB-19465"/>
    <s v="Rick Bensley"/>
    <x v="2"/>
    <s v="United States"/>
    <x v="25"/>
    <x v="17"/>
    <x v="3"/>
    <s v="FUR-CH-10000454"/>
    <s v="Furniture"/>
    <x v="1"/>
    <s v="Hon Deluxe Fabric Upholstered Stacking Chairs, Rounded Back"/>
    <n v="487.96"/>
    <n v="2"/>
    <n v="146.38800000000001"/>
    <x v="4"/>
    <x v="2"/>
  </r>
  <r>
    <s v="CA-2014-138177"/>
    <x v="539"/>
    <d v="2014-09-24T00:00:00"/>
    <x v="1"/>
    <s v="ND-18460"/>
    <s v="Neil Ducich"/>
    <x v="1"/>
    <s v="United States"/>
    <x v="262"/>
    <x v="22"/>
    <x v="1"/>
    <s v="FUR-TA-10004607"/>
    <s v="Furniture"/>
    <x v="2"/>
    <s v="Hon 2111 Invitation Series Straight Table"/>
    <n v="73.915000000000006"/>
    <n v="1"/>
    <n v="-45.827300000000001"/>
    <x v="2"/>
    <x v="4"/>
  </r>
  <r>
    <s v="CA-2014-114335"/>
    <x v="849"/>
    <d v="2014-10-03T00:00:00"/>
    <x v="1"/>
    <s v="XP-21865"/>
    <s v="Xylona Preis"/>
    <x v="0"/>
    <s v="United States"/>
    <x v="358"/>
    <x v="1"/>
    <x v="0"/>
    <s v="FUR-FU-10000277"/>
    <s v="Furniture"/>
    <x v="3"/>
    <s v="Deflect-o DuraMat Antistatic Studded Beveled Mat for Medium Pile Carpeting"/>
    <n v="337.08800000000002"/>
    <n v="4"/>
    <n v="16.854399999999998"/>
    <x v="2"/>
    <x v="4"/>
  </r>
  <r>
    <s v="CA-2015-160227"/>
    <x v="46"/>
    <d v="2015-11-04T00:00:00"/>
    <x v="2"/>
    <s v="ED-13885"/>
    <s v="Emily Ducich"/>
    <x v="2"/>
    <s v="United States"/>
    <x v="13"/>
    <x v="7"/>
    <x v="2"/>
    <s v="FUR-CH-10002073"/>
    <s v="Furniture"/>
    <x v="1"/>
    <s v="Hon Olson Stacker Chairs"/>
    <n v="2621.3220000000001"/>
    <n v="11"/>
    <n v="553.39020000000005"/>
    <x v="3"/>
    <x v="0"/>
  </r>
  <r>
    <s v="CA-2015-149097"/>
    <x v="798"/>
    <d v="2015-10-24T00:00:00"/>
    <x v="1"/>
    <s v="SV-20785"/>
    <s v="Stewart Visinsky"/>
    <x v="0"/>
    <s v="United States"/>
    <x v="2"/>
    <x v="2"/>
    <x v="1"/>
    <s v="FUR-FU-10003424"/>
    <s v="Furniture"/>
    <x v="3"/>
    <s v="Nu-Dell Oak Frame"/>
    <n v="74.760000000000005"/>
    <n v="7"/>
    <n v="23.923200000000001"/>
    <x v="4"/>
    <x v="1"/>
  </r>
  <r>
    <s v="CA-2015-149097"/>
    <x v="798"/>
    <d v="2015-10-24T00:00:00"/>
    <x v="1"/>
    <s v="SV-20785"/>
    <s v="Stewart Visinsky"/>
    <x v="0"/>
    <s v="United States"/>
    <x v="2"/>
    <x v="2"/>
    <x v="1"/>
    <s v="FUR-TA-10001086"/>
    <s v="Furniture"/>
    <x v="2"/>
    <s v="SAFCO PlanMaster Boards, 60w x 37-1/2d, White Melamine"/>
    <n v="364.77600000000001"/>
    <n v="3"/>
    <n v="27.3582"/>
    <x v="4"/>
    <x v="1"/>
  </r>
  <r>
    <s v="CA-2016-132304"/>
    <x v="184"/>
    <d v="2016-06-18T00:00:00"/>
    <x v="1"/>
    <s v="AR-10825"/>
    <s v="Anthony Rawles"/>
    <x v="1"/>
    <s v="United States"/>
    <x v="15"/>
    <x v="13"/>
    <x v="1"/>
    <s v="FUR-TA-10004619"/>
    <s v="Furniture"/>
    <x v="2"/>
    <s v="Hon Non-Folding Utility Tables"/>
    <n v="1115.17"/>
    <n v="7"/>
    <n v="334.55099999999999"/>
    <x v="4"/>
    <x v="2"/>
  </r>
  <r>
    <s v="CA-2016-106278"/>
    <x v="227"/>
    <d v="2016-09-05T00:00:00"/>
    <x v="0"/>
    <s v="BM-11140"/>
    <s v="Becky Martin"/>
    <x v="0"/>
    <s v="United States"/>
    <x v="67"/>
    <x v="13"/>
    <x v="1"/>
    <s v="FUR-CH-10003061"/>
    <s v="Furniture"/>
    <x v="1"/>
    <s v="Global Leather Task Chair, Black"/>
    <n v="215.976"/>
    <n v="3"/>
    <n v="-2.6997"/>
    <x v="0"/>
    <x v="4"/>
  </r>
  <r>
    <s v="CA-2017-147550"/>
    <x v="423"/>
    <d v="2017-12-05T00:00:00"/>
    <x v="2"/>
    <s v="KE-16420"/>
    <s v="Katrina Edelman"/>
    <x v="1"/>
    <s v="United States"/>
    <x v="3"/>
    <x v="3"/>
    <x v="2"/>
    <s v="FUR-FU-10001918"/>
    <s v="Furniture"/>
    <x v="3"/>
    <s v="C-Line Cubicle Keepers Polyproplyene Holder With Velcro Backings"/>
    <n v="11.352"/>
    <n v="3"/>
    <n v="2.6960999999999999"/>
    <x v="5"/>
    <x v="5"/>
  </r>
  <r>
    <s v="CA-2016-108105"/>
    <x v="285"/>
    <d v="2016-02-23T00:00:00"/>
    <x v="1"/>
    <s v="GW-14605"/>
    <s v="Giulietta Weimer"/>
    <x v="0"/>
    <s v="United States"/>
    <x v="0"/>
    <x v="0"/>
    <x v="0"/>
    <s v="FUR-FU-10003773"/>
    <s v="Furniture"/>
    <x v="3"/>
    <s v="Eldon Cleatmat Plus Chair Mats for High Pile Carpets"/>
    <n v="318.08"/>
    <n v="4"/>
    <n v="34.988799999999998"/>
    <x v="1"/>
    <x v="11"/>
  </r>
  <r>
    <s v="CA-2016-143406"/>
    <x v="73"/>
    <d v="2016-09-30T00:00:00"/>
    <x v="1"/>
    <s v="LR-17035"/>
    <s v="Lisa Ryan"/>
    <x v="1"/>
    <s v="United States"/>
    <x v="6"/>
    <x v="5"/>
    <x v="3"/>
    <s v="FUR-CH-10000513"/>
    <s v="Furniture"/>
    <x v="1"/>
    <s v="High-Back Leather Manager's Chair"/>
    <n v="454.96499999999997"/>
    <n v="5"/>
    <n v="-136.48949999999999"/>
    <x v="4"/>
    <x v="4"/>
  </r>
  <r>
    <s v="CA-2015-162950"/>
    <x v="741"/>
    <d v="2015-07-03T00:00:00"/>
    <x v="0"/>
    <s v="DW-13585"/>
    <s v="Dorothy Wardle"/>
    <x v="1"/>
    <s v="United States"/>
    <x v="8"/>
    <x v="15"/>
    <x v="2"/>
    <s v="FUR-BO-10001918"/>
    <s v="Furniture"/>
    <x v="0"/>
    <s v="Sauder Forest Hills Library with Doors, Woodland Oak Finish"/>
    <n v="482.94"/>
    <n v="6"/>
    <n v="-376.69319999999999"/>
    <x v="2"/>
    <x v="2"/>
  </r>
  <r>
    <s v="CA-2015-163181"/>
    <x v="86"/>
    <d v="2015-11-12T00:00:00"/>
    <x v="1"/>
    <s v="AB-10105"/>
    <s v="Adrian Barton"/>
    <x v="0"/>
    <s v="United States"/>
    <x v="6"/>
    <x v="5"/>
    <x v="3"/>
    <s v="FUR-FU-10000193"/>
    <s v="Furniture"/>
    <x v="3"/>
    <s v="Tenex Chairmats For Use with Hard Floors"/>
    <n v="64.959999999999994"/>
    <n v="5"/>
    <n v="-84.447999999999993"/>
    <x v="2"/>
    <x v="0"/>
  </r>
  <r>
    <s v="CA-2017-153045"/>
    <x v="850"/>
    <d v="2017-01-24T00:00:00"/>
    <x v="0"/>
    <s v="NS-18505"/>
    <s v="Neola Schneider"/>
    <x v="0"/>
    <s v="United States"/>
    <x v="3"/>
    <x v="3"/>
    <x v="2"/>
    <s v="FUR-FU-10002759"/>
    <s v="Furniture"/>
    <x v="3"/>
    <s v="12-1/2 Diameter Round Wall Clock"/>
    <n v="31.968"/>
    <n v="2"/>
    <n v="6.3936000000000002"/>
    <x v="2"/>
    <x v="8"/>
  </r>
  <r>
    <s v="CA-2017-153045"/>
    <x v="850"/>
    <d v="2017-01-24T00:00:00"/>
    <x v="0"/>
    <s v="NS-18505"/>
    <s v="Neola Schneider"/>
    <x v="0"/>
    <s v="United States"/>
    <x v="3"/>
    <x v="3"/>
    <x v="2"/>
    <s v="FUR-CH-10000309"/>
    <s v="Furniture"/>
    <x v="1"/>
    <s v="Global Comet Stacking Arm Chair"/>
    <n v="887.27099999999996"/>
    <n v="3"/>
    <n v="-63.3765"/>
    <x v="2"/>
    <x v="8"/>
  </r>
  <r>
    <s v="CA-2016-128916"/>
    <x v="851"/>
    <d v="2016-08-20T00:00:00"/>
    <x v="0"/>
    <s v="MA-17560"/>
    <s v="Matt Abelman"/>
    <x v="2"/>
    <s v="United States"/>
    <x v="6"/>
    <x v="5"/>
    <x v="3"/>
    <s v="FUR-FU-10001940"/>
    <s v="Furniture"/>
    <x v="3"/>
    <s v="Staple-based wall hangings"/>
    <n v="9.5519999999999996"/>
    <n v="3"/>
    <n v="-3.8208000000000002"/>
    <x v="3"/>
    <x v="10"/>
  </r>
  <r>
    <s v="CA-2016-128916"/>
    <x v="851"/>
    <d v="2016-08-20T00:00:00"/>
    <x v="0"/>
    <s v="MA-17560"/>
    <s v="Matt Abelman"/>
    <x v="2"/>
    <s v="United States"/>
    <x v="6"/>
    <x v="5"/>
    <x v="3"/>
    <s v="FUR-FU-10000320"/>
    <s v="Furniture"/>
    <x v="3"/>
    <s v="OIC Stacking Trays"/>
    <n v="5.3440000000000003"/>
    <n v="4"/>
    <n v="-2.1375999999999999"/>
    <x v="3"/>
    <x v="10"/>
  </r>
  <r>
    <s v="CA-2016-130911"/>
    <x v="852"/>
    <d v="2016-03-26T00:00:00"/>
    <x v="0"/>
    <s v="DC-12850"/>
    <s v="Dan Campbell"/>
    <x v="0"/>
    <s v="United States"/>
    <x v="59"/>
    <x v="15"/>
    <x v="2"/>
    <s v="FUR-BO-10004357"/>
    <s v="Furniture"/>
    <x v="0"/>
    <s v="O'Sullivan Living Dimensions 3-Shelf Bookcases"/>
    <n v="301.47000000000003"/>
    <n v="3"/>
    <n v="-241.17599999999999"/>
    <x v="3"/>
    <x v="9"/>
  </r>
  <r>
    <s v="CA-2017-100055"/>
    <x v="15"/>
    <d v="2017-06-01T00:00:00"/>
    <x v="1"/>
    <s v="MD-17860"/>
    <s v="Michael Dominguez"/>
    <x v="1"/>
    <s v="United States"/>
    <x v="359"/>
    <x v="32"/>
    <x v="2"/>
    <s v="FUR-FU-10001473"/>
    <s v="Furniture"/>
    <x v="3"/>
    <s v="DAX Wood Document Frame"/>
    <n v="27.46"/>
    <n v="2"/>
    <n v="9.8856000000000002"/>
    <x v="4"/>
    <x v="7"/>
  </r>
  <r>
    <s v="CA-2016-132990"/>
    <x v="853"/>
    <d v="2016-08-03T00:00:00"/>
    <x v="0"/>
    <s v="KM-16660"/>
    <s v="Khloe Miller"/>
    <x v="0"/>
    <s v="United States"/>
    <x v="3"/>
    <x v="3"/>
    <x v="2"/>
    <s v="FUR-FU-10004864"/>
    <s v="Furniture"/>
    <x v="3"/>
    <s v="Eldon 500 Class Desk Accessories"/>
    <n v="19.312000000000001"/>
    <n v="2"/>
    <n v="3.1381999999999999"/>
    <x v="3"/>
    <x v="10"/>
  </r>
  <r>
    <s v="CA-2016-160108"/>
    <x v="6"/>
    <d v="2016-12-12T00:00:00"/>
    <x v="1"/>
    <s v="AG-10900"/>
    <s v="Arthur Gainer"/>
    <x v="0"/>
    <s v="United States"/>
    <x v="360"/>
    <x v="16"/>
    <x v="3"/>
    <s v="FUR-BO-10003450"/>
    <s v="Furniture"/>
    <x v="0"/>
    <s v="Bush Westfield Collection Bookcases, Dark Cherry Finish"/>
    <n v="405.86"/>
    <n v="7"/>
    <n v="32.468800000000002"/>
    <x v="4"/>
    <x v="5"/>
  </r>
  <r>
    <s v="CA-2016-160108"/>
    <x v="6"/>
    <d v="2016-12-12T00:00:00"/>
    <x v="1"/>
    <s v="AG-10900"/>
    <s v="Arthur Gainer"/>
    <x v="0"/>
    <s v="United States"/>
    <x v="360"/>
    <x v="16"/>
    <x v="3"/>
    <s v="FUR-CH-10002335"/>
    <s v="Furniture"/>
    <x v="1"/>
    <s v="Hon GuestStacker Chair"/>
    <n v="680.01"/>
    <n v="3"/>
    <n v="176.80260000000001"/>
    <x v="4"/>
    <x v="5"/>
  </r>
  <r>
    <s v="US-2016-155768"/>
    <x v="193"/>
    <d v="2016-12-01T00:00:00"/>
    <x v="3"/>
    <s v="LB-16795"/>
    <s v="Laurel Beltran"/>
    <x v="2"/>
    <s v="United States"/>
    <x v="299"/>
    <x v="2"/>
    <x v="1"/>
    <s v="FUR-FU-10000448"/>
    <s v="Furniture"/>
    <x v="3"/>
    <s v="Tenex Chairmats For Use With Carpeted Floors"/>
    <n v="31.96"/>
    <n v="2"/>
    <n v="1.5980000000000001"/>
    <x v="7"/>
    <x v="5"/>
  </r>
  <r>
    <s v="CA-2017-156776"/>
    <x v="854"/>
    <d v="2017-08-11T00:00:00"/>
    <x v="1"/>
    <s v="JL-15505"/>
    <s v="Jeremy Lonsdale"/>
    <x v="0"/>
    <s v="United States"/>
    <x v="327"/>
    <x v="2"/>
    <x v="1"/>
    <s v="FUR-FU-10004848"/>
    <s v="Furniture"/>
    <x v="3"/>
    <s v="Howard Miller 13-3/4&quot; Diameter Brushed Chrome Round Wall Clock"/>
    <n v="51.75"/>
    <n v="1"/>
    <n v="15.525"/>
    <x v="4"/>
    <x v="10"/>
  </r>
  <r>
    <s v="CA-2017-156776"/>
    <x v="854"/>
    <d v="2017-08-11T00:00:00"/>
    <x v="1"/>
    <s v="JL-15505"/>
    <s v="Jeremy Lonsdale"/>
    <x v="0"/>
    <s v="United States"/>
    <x v="327"/>
    <x v="2"/>
    <x v="1"/>
    <s v="FUR-CH-10002317"/>
    <s v="Furniture"/>
    <x v="1"/>
    <s v="Global Enterprise Series Seating Low-Back Swivel/Tilt Chairs"/>
    <n v="207.184"/>
    <n v="1"/>
    <n v="25.898"/>
    <x v="4"/>
    <x v="10"/>
  </r>
  <r>
    <s v="CA-2014-103310"/>
    <x v="769"/>
    <d v="2014-05-15T00:00:00"/>
    <x v="1"/>
    <s v="GM-14680"/>
    <s v="Greg Matthias"/>
    <x v="0"/>
    <s v="United States"/>
    <x v="124"/>
    <x v="2"/>
    <x v="1"/>
    <s v="FUR-CH-10002320"/>
    <s v="Furniture"/>
    <x v="1"/>
    <s v="Hon Pagoda Stacking Chairs"/>
    <n v="256.78399999999999"/>
    <n v="1"/>
    <n v="32.097999999999999"/>
    <x v="2"/>
    <x v="7"/>
  </r>
  <r>
    <s v="CA-2016-152688"/>
    <x v="816"/>
    <d v="2016-10-20T00:00:00"/>
    <x v="2"/>
    <s v="NR-18550"/>
    <s v="Nick Radford"/>
    <x v="0"/>
    <s v="United States"/>
    <x v="361"/>
    <x v="18"/>
    <x v="2"/>
    <s v="FUR-BO-10001337"/>
    <s v="Furniture"/>
    <x v="0"/>
    <s v="O'Sullivan Living Dimensions 2-Shelf Bookcases"/>
    <n v="120.98"/>
    <n v="1"/>
    <n v="12.098000000000001"/>
    <x v="0"/>
    <x v="1"/>
  </r>
  <r>
    <s v="CA-2014-144071"/>
    <x v="489"/>
    <d v="2014-12-15T00:00:00"/>
    <x v="1"/>
    <s v="DJ-13420"/>
    <s v="Denny Joy"/>
    <x v="1"/>
    <s v="United States"/>
    <x v="28"/>
    <x v="2"/>
    <x v="1"/>
    <s v="FUR-FU-10000397"/>
    <s v="Furniture"/>
    <x v="3"/>
    <s v="Luxo Economy Swing Arm Lamp"/>
    <n v="39.880000000000003"/>
    <n v="2"/>
    <n v="11.166399999999999"/>
    <x v="1"/>
    <x v="5"/>
  </r>
  <r>
    <s v="CA-2014-144071"/>
    <x v="489"/>
    <d v="2014-12-15T00:00:00"/>
    <x v="1"/>
    <s v="DJ-13420"/>
    <s v="Denny Joy"/>
    <x v="1"/>
    <s v="United States"/>
    <x v="28"/>
    <x v="2"/>
    <x v="1"/>
    <s v="FUR-FU-10000758"/>
    <s v="Furniture"/>
    <x v="3"/>
    <s v="DAX Natural Wood-Tone Poster Frame"/>
    <n v="79.44"/>
    <n v="3"/>
    <n v="28.598400000000002"/>
    <x v="1"/>
    <x v="5"/>
  </r>
  <r>
    <s v="US-2015-164238"/>
    <x v="793"/>
    <d v="2015-08-20T00:00:00"/>
    <x v="1"/>
    <s v="JW-15955"/>
    <s v="Joni Wasserman"/>
    <x v="0"/>
    <s v="United States"/>
    <x v="3"/>
    <x v="3"/>
    <x v="2"/>
    <s v="FUR-BO-10000780"/>
    <s v="Furniture"/>
    <x v="0"/>
    <s v="O'Sullivan Plantations 2-Door Library in Landvery Oak"/>
    <n v="301.47000000000003"/>
    <n v="3"/>
    <n v="-204.99959999999999"/>
    <x v="4"/>
    <x v="10"/>
  </r>
  <r>
    <s v="CA-2017-103212"/>
    <x v="540"/>
    <d v="2017-10-14T00:00:00"/>
    <x v="2"/>
    <s v="MH-18025"/>
    <s v="Michelle Huthwaite"/>
    <x v="0"/>
    <s v="United States"/>
    <x v="120"/>
    <x v="35"/>
    <x v="0"/>
    <s v="FUR-TA-10003473"/>
    <s v="Furniture"/>
    <x v="2"/>
    <s v="Bretford Rectangular Conference Table Tops"/>
    <n v="1504.52"/>
    <n v="4"/>
    <n v="346.03960000000001"/>
    <x v="5"/>
    <x v="1"/>
  </r>
  <r>
    <s v="CA-2016-126732"/>
    <x v="227"/>
    <d v="2016-09-06T00:00:00"/>
    <x v="1"/>
    <s v="LR-16915"/>
    <s v="Lena Radford"/>
    <x v="0"/>
    <s v="United States"/>
    <x v="2"/>
    <x v="2"/>
    <x v="1"/>
    <s v="FUR-FU-10001889"/>
    <s v="Furniture"/>
    <x v="3"/>
    <s v="Ultra Door Pull Handle"/>
    <n v="94.68"/>
    <n v="9"/>
    <n v="31.244399999999999"/>
    <x v="4"/>
    <x v="4"/>
  </r>
  <r>
    <s v="CA-2016-126732"/>
    <x v="227"/>
    <d v="2016-09-06T00:00:00"/>
    <x v="1"/>
    <s v="LR-16915"/>
    <s v="Lena Radford"/>
    <x v="0"/>
    <s v="United States"/>
    <x v="2"/>
    <x v="2"/>
    <x v="1"/>
    <s v="FUR-TA-10001539"/>
    <s v="Furniture"/>
    <x v="2"/>
    <s v="Chromcraft Rectangular Conference Tables"/>
    <n v="568.72799999999995"/>
    <n v="3"/>
    <n v="28.436399999999999"/>
    <x v="4"/>
    <x v="4"/>
  </r>
  <r>
    <s v="CA-2017-138156"/>
    <x v="441"/>
    <d v="2017-02-14T00:00:00"/>
    <x v="2"/>
    <s v="MM-17260"/>
    <s v="Magdelene Morse"/>
    <x v="0"/>
    <s v="United States"/>
    <x v="29"/>
    <x v="15"/>
    <x v="2"/>
    <s v="FUR-FU-10003601"/>
    <s v="Furniture"/>
    <x v="3"/>
    <s v="Deflect-o RollaMat Studded, Beveled Mat for Medium Pile Carpeting"/>
    <n v="147.56800000000001"/>
    <n v="2"/>
    <n v="-3.6892"/>
    <x v="0"/>
    <x v="11"/>
  </r>
  <r>
    <s v="CA-2014-113271"/>
    <x v="855"/>
    <d v="2014-07-14T00:00:00"/>
    <x v="1"/>
    <s v="DS-13030"/>
    <s v="Darrin Sayre"/>
    <x v="2"/>
    <s v="United States"/>
    <x v="28"/>
    <x v="2"/>
    <x v="1"/>
    <s v="FUR-BO-10004218"/>
    <s v="Furniture"/>
    <x v="0"/>
    <s v="Bush Heritage Pine Collection 5-Shelf Bookcase, Albany Pine Finish, *Special Order"/>
    <n v="119.833"/>
    <n v="1"/>
    <n v="7.0490000000000004"/>
    <x v="2"/>
    <x v="3"/>
  </r>
  <r>
    <s v="CA-2014-168368"/>
    <x v="651"/>
    <d v="2014-02-15T00:00:00"/>
    <x v="0"/>
    <s v="GA-14725"/>
    <s v="Guy Armstrong"/>
    <x v="0"/>
    <s v="United States"/>
    <x v="11"/>
    <x v="23"/>
    <x v="3"/>
    <s v="FUR-CH-10001146"/>
    <s v="Furniture"/>
    <x v="1"/>
    <s v="Global Value Mid-Back Manager's Chair, Gray"/>
    <n v="60.89"/>
    <n v="1"/>
    <n v="15.2225"/>
    <x v="4"/>
    <x v="11"/>
  </r>
  <r>
    <s v="CA-2014-168368"/>
    <x v="651"/>
    <d v="2014-02-15T00:00:00"/>
    <x v="0"/>
    <s v="GA-14725"/>
    <s v="Guy Armstrong"/>
    <x v="0"/>
    <s v="United States"/>
    <x v="11"/>
    <x v="23"/>
    <x v="3"/>
    <s v="FUR-FU-10002298"/>
    <s v="Furniture"/>
    <x v="3"/>
    <s v="Rubbermaid ClusterMat Chairmats, Mat Size- 66&quot; x 60&quot;, Lip 20&quot; x 11&quot; -90 Degree Angle"/>
    <n v="332.94"/>
    <n v="3"/>
    <n v="53.270400000000002"/>
    <x v="4"/>
    <x v="11"/>
  </r>
  <r>
    <s v="CA-2017-111388"/>
    <x v="113"/>
    <d v="2017-09-02T00:00:00"/>
    <x v="3"/>
    <s v="SU-20665"/>
    <s v="Stephanie Ulpright"/>
    <x v="2"/>
    <s v="United States"/>
    <x v="15"/>
    <x v="13"/>
    <x v="1"/>
    <s v="FUR-CH-10003061"/>
    <s v="Furniture"/>
    <x v="1"/>
    <s v="Global Leather Task Chair, Black"/>
    <n v="215.976"/>
    <n v="3"/>
    <n v="-2.6997"/>
    <x v="7"/>
    <x v="4"/>
  </r>
  <r>
    <s v="CA-2015-124499"/>
    <x v="856"/>
    <d v="2015-10-13T00:00:00"/>
    <x v="1"/>
    <s v="FM-14380"/>
    <s v="Fred McMath"/>
    <x v="0"/>
    <s v="United States"/>
    <x v="25"/>
    <x v="17"/>
    <x v="3"/>
    <s v="FUR-CH-10000513"/>
    <s v="Furniture"/>
    <x v="1"/>
    <s v="High-Back Leather Manager's Chair"/>
    <n v="389.97"/>
    <n v="3"/>
    <n v="35.097299999999997"/>
    <x v="4"/>
    <x v="1"/>
  </r>
  <r>
    <s v="CA-2014-125759"/>
    <x v="857"/>
    <d v="2014-02-09T00:00:00"/>
    <x v="2"/>
    <s v="NM-18445"/>
    <s v="Nathan Mautz"/>
    <x v="2"/>
    <s v="United States"/>
    <x v="111"/>
    <x v="34"/>
    <x v="1"/>
    <s v="FUR-FU-10002111"/>
    <s v="Furniture"/>
    <x v="3"/>
    <s v="Master Caster Door Stop, Large Brown"/>
    <n v="14.56"/>
    <n v="2"/>
    <n v="5.5327999999999999"/>
    <x v="5"/>
    <x v="11"/>
  </r>
  <r>
    <s v="CA-2015-151869"/>
    <x v="4"/>
    <d v="2015-09-25T00:00:00"/>
    <x v="3"/>
    <s v="CS-11950"/>
    <s v="Carlos Soltero"/>
    <x v="0"/>
    <s v="United States"/>
    <x v="234"/>
    <x v="7"/>
    <x v="2"/>
    <s v="FUR-CH-10001545"/>
    <s v="Furniture"/>
    <x v="1"/>
    <s v="Hon Comfortask Task/Swivel Chairs"/>
    <n v="102.58199999999999"/>
    <n v="1"/>
    <n v="6.8388"/>
    <x v="7"/>
    <x v="4"/>
  </r>
  <r>
    <s v="CA-2016-100510"/>
    <x v="858"/>
    <d v="2016-05-17T00:00:00"/>
    <x v="1"/>
    <s v="HM-14860"/>
    <s v="Harry Marie"/>
    <x v="1"/>
    <s v="United States"/>
    <x v="13"/>
    <x v="7"/>
    <x v="2"/>
    <s v="FUR-FU-10000320"/>
    <s v="Furniture"/>
    <x v="3"/>
    <s v="OIC Stacking Trays"/>
    <n v="10.02"/>
    <n v="3"/>
    <n v="4.4088000000000003"/>
    <x v="2"/>
    <x v="7"/>
  </r>
  <r>
    <s v="CA-2017-122539"/>
    <x v="451"/>
    <d v="2017-12-05T00:00:00"/>
    <x v="1"/>
    <s v="SC-20305"/>
    <s v="Sean Christensen"/>
    <x v="0"/>
    <s v="United States"/>
    <x v="3"/>
    <x v="3"/>
    <x v="2"/>
    <s v="FUR-CH-10003379"/>
    <s v="Furniture"/>
    <x v="1"/>
    <s v="Global Commerce Series High-Back Swivel/Tilt Chairs"/>
    <n v="398.97199999999998"/>
    <n v="2"/>
    <n v="-28.498000000000001"/>
    <x v="4"/>
    <x v="5"/>
  </r>
  <r>
    <s v="CA-2016-166772"/>
    <x v="649"/>
    <d v="2016-09-24T00:00:00"/>
    <x v="1"/>
    <s v="HJ-14875"/>
    <s v="Heather Jas"/>
    <x v="2"/>
    <s v="United States"/>
    <x v="15"/>
    <x v="13"/>
    <x v="1"/>
    <s v="FUR-BO-10002853"/>
    <s v="Furniture"/>
    <x v="0"/>
    <s v="O'Sullivan 5-Shelf Heavy-Duty Bookcases"/>
    <n v="163.88"/>
    <n v="2"/>
    <n v="40.97"/>
    <x v="4"/>
    <x v="4"/>
  </r>
  <r>
    <s v="CA-2014-161032"/>
    <x v="356"/>
    <d v="2014-11-23T00:00:00"/>
    <x v="1"/>
    <s v="MK-17905"/>
    <s v="Michael Kennedy"/>
    <x v="1"/>
    <s v="United States"/>
    <x v="20"/>
    <x v="16"/>
    <x v="3"/>
    <s v="FUR-CH-10001482"/>
    <s v="Furniture"/>
    <x v="1"/>
    <s v="Office Star - Mesh Screen back chair with Vinyl seat"/>
    <n v="392.94"/>
    <n v="3"/>
    <n v="43.223399999999998"/>
    <x v="2"/>
    <x v="0"/>
  </r>
  <r>
    <s v="CA-2015-102778"/>
    <x v="32"/>
    <d v="2015-11-24T00:00:00"/>
    <x v="2"/>
    <s v="JH-15820"/>
    <s v="John Huston"/>
    <x v="0"/>
    <s v="United States"/>
    <x v="91"/>
    <x v="30"/>
    <x v="0"/>
    <s v="FUR-FU-10000087"/>
    <s v="Furniture"/>
    <x v="3"/>
    <s v="Executive Impressions 14&quot; Two-Color Numerals Wall Clock"/>
    <n v="18.175999999999998"/>
    <n v="1"/>
    <n v="4.7712000000000003"/>
    <x v="0"/>
    <x v="0"/>
  </r>
  <r>
    <s v="CA-2017-154011"/>
    <x v="744"/>
    <d v="2017-06-26T00:00:00"/>
    <x v="1"/>
    <s v="DB-13270"/>
    <s v="Deborah Brumfield"/>
    <x v="2"/>
    <s v="United States"/>
    <x v="144"/>
    <x v="5"/>
    <x v="3"/>
    <s v="FUR-TA-10000688"/>
    <s v="Furniture"/>
    <x v="2"/>
    <s v="Chromcraft Bull-Nose Wood Round Conference Table Top, Wood Base"/>
    <n v="457.48500000000001"/>
    <n v="3"/>
    <n v="-84.961500000000001"/>
    <x v="1"/>
    <x v="2"/>
  </r>
  <r>
    <s v="US-2017-165456"/>
    <x v="147"/>
    <d v="2017-12-03T00:00:00"/>
    <x v="2"/>
    <s v="TB-21625"/>
    <s v="Trudy Brown"/>
    <x v="0"/>
    <s v="United States"/>
    <x v="3"/>
    <x v="3"/>
    <x v="2"/>
    <s v="FUR-CH-10003981"/>
    <s v="Furniture"/>
    <x v="1"/>
    <s v="Global Commerce Series Low-Back Swivel/Tilt Chairs"/>
    <n v="1079.316"/>
    <n v="6"/>
    <n v="-15.418799999999999"/>
    <x v="0"/>
    <x v="0"/>
  </r>
  <r>
    <s v="CA-2017-161340"/>
    <x v="15"/>
    <d v="2017-06-01T00:00:00"/>
    <x v="1"/>
    <s v="AM-10360"/>
    <s v="Alice McCarthy"/>
    <x v="1"/>
    <s v="United States"/>
    <x v="59"/>
    <x v="15"/>
    <x v="2"/>
    <s v="FUR-BO-10004709"/>
    <s v="Furniture"/>
    <x v="0"/>
    <s v="Bush Westfield Collection Bookcases, Medium Cherry Finish"/>
    <n v="115.96"/>
    <n v="4"/>
    <n v="-64.937600000000003"/>
    <x v="4"/>
    <x v="7"/>
  </r>
  <r>
    <s v="US-2015-163433"/>
    <x v="8"/>
    <d v="2015-04-22T00:00:00"/>
    <x v="0"/>
    <s v="MP-17965"/>
    <s v="Michael Paige"/>
    <x v="1"/>
    <s v="United States"/>
    <x v="362"/>
    <x v="5"/>
    <x v="3"/>
    <s v="FUR-CH-10000225"/>
    <s v="Furniture"/>
    <x v="1"/>
    <s v="Global Geo Office Task Chair, Gray"/>
    <n v="56.686"/>
    <n v="1"/>
    <n v="-20.245000000000001"/>
    <x v="4"/>
    <x v="6"/>
  </r>
  <r>
    <s v="US-2017-108343"/>
    <x v="96"/>
    <d v="2017-07-25T00:00:00"/>
    <x v="1"/>
    <s v="AR-10825"/>
    <s v="Anthony Rawles"/>
    <x v="1"/>
    <s v="United States"/>
    <x v="13"/>
    <x v="7"/>
    <x v="2"/>
    <s v="FUR-CH-10002780"/>
    <s v="Furniture"/>
    <x v="1"/>
    <s v="Office Star - Task Chair with Contemporary Loop Arms"/>
    <n v="163.76400000000001"/>
    <n v="2"/>
    <n v="25.474399999999999"/>
    <x v="2"/>
    <x v="3"/>
  </r>
  <r>
    <s v="US-2017-108343"/>
    <x v="96"/>
    <d v="2017-07-25T00:00:00"/>
    <x v="1"/>
    <s v="AR-10825"/>
    <s v="Anthony Rawles"/>
    <x v="1"/>
    <s v="United States"/>
    <x v="13"/>
    <x v="7"/>
    <x v="2"/>
    <s v="FUR-FU-10000747"/>
    <s v="Furniture"/>
    <x v="3"/>
    <s v="Tenex B1-RE Series Chair Mats for Low Pile Carpets"/>
    <n v="183.92"/>
    <n v="4"/>
    <n v="31.266400000000001"/>
    <x v="2"/>
    <x v="3"/>
  </r>
  <r>
    <s v="US-2016-111563"/>
    <x v="114"/>
    <d v="2016-11-08T00:00:00"/>
    <x v="1"/>
    <s v="SM-20005"/>
    <s v="Sally Matthias"/>
    <x v="0"/>
    <s v="United States"/>
    <x v="6"/>
    <x v="5"/>
    <x v="3"/>
    <s v="FUR-FU-10002445"/>
    <s v="Furniture"/>
    <x v="3"/>
    <s v="DAX Two-Tone Rosewood/Black Document Frame, Desktop, 5 x 7"/>
    <n v="11.375999999999999"/>
    <n v="3"/>
    <n v="-5.6879999999999997"/>
    <x v="4"/>
    <x v="0"/>
  </r>
  <r>
    <s v="US-2016-111563"/>
    <x v="114"/>
    <d v="2016-11-08T00:00:00"/>
    <x v="1"/>
    <s v="SM-20005"/>
    <s v="Sally Matthias"/>
    <x v="0"/>
    <s v="United States"/>
    <x v="6"/>
    <x v="5"/>
    <x v="3"/>
    <s v="FUR-FU-10000723"/>
    <s v="Furniture"/>
    <x v="3"/>
    <s v="Deflect-o EconoMat Studded, No Bevel Mat for Low Pile Carpeting"/>
    <n v="66.111999999999995"/>
    <n v="4"/>
    <n v="-84.2928"/>
    <x v="4"/>
    <x v="0"/>
  </r>
  <r>
    <s v="CA-2017-121853"/>
    <x v="204"/>
    <d v="2017-09-29T00:00:00"/>
    <x v="1"/>
    <s v="DB-13660"/>
    <s v="Duane Benoit"/>
    <x v="0"/>
    <s v="United States"/>
    <x v="2"/>
    <x v="2"/>
    <x v="1"/>
    <s v="FUR-CH-10003973"/>
    <s v="Furniture"/>
    <x v="1"/>
    <s v="GuestStacker Chair with Chrome Finish Legs"/>
    <n v="594.81600000000003"/>
    <n v="2"/>
    <n v="59.4816"/>
    <x v="6"/>
    <x v="4"/>
  </r>
  <r>
    <s v="US-2017-130687"/>
    <x v="87"/>
    <d v="2017-09-10T00:00:00"/>
    <x v="2"/>
    <s v="PF-19225"/>
    <s v="Phillip Flathmann"/>
    <x v="0"/>
    <s v="United States"/>
    <x v="71"/>
    <x v="13"/>
    <x v="1"/>
    <s v="FUR-FU-10004053"/>
    <s v="Furniture"/>
    <x v="3"/>
    <s v="DAX Two-Tone Silver Metal Document Frame"/>
    <n v="80.959999999999994"/>
    <n v="4"/>
    <n v="34.812800000000003"/>
    <x v="0"/>
    <x v="4"/>
  </r>
  <r>
    <s v="CA-2017-110198"/>
    <x v="806"/>
    <d v="2017-05-02T00:00:00"/>
    <x v="2"/>
    <s v="AG-10900"/>
    <s v="Arthur Gainer"/>
    <x v="0"/>
    <s v="United States"/>
    <x v="97"/>
    <x v="1"/>
    <x v="0"/>
    <s v="FUR-BO-10001798"/>
    <s v="Furniture"/>
    <x v="0"/>
    <s v="Bush Somerset Collection Bookcase"/>
    <n v="314.35199999999998"/>
    <n v="3"/>
    <n v="-15.717599999999999"/>
    <x v="5"/>
    <x v="7"/>
  </r>
  <r>
    <s v="CA-2017-109085"/>
    <x v="506"/>
    <d v="2017-02-20T00:00:00"/>
    <x v="2"/>
    <s v="CK-12325"/>
    <s v="Christine Kargatis"/>
    <x v="2"/>
    <s v="United States"/>
    <x v="8"/>
    <x v="15"/>
    <x v="2"/>
    <s v="FUR-TA-10001086"/>
    <s v="Furniture"/>
    <x v="2"/>
    <s v="SAFCO PlanMaster Boards, 60w x 37-1/2d, White Melamine"/>
    <n v="455.97"/>
    <n v="5"/>
    <n v="-106.393"/>
    <x v="0"/>
    <x v="11"/>
  </r>
  <r>
    <s v="CA-2017-109085"/>
    <x v="506"/>
    <d v="2017-02-20T00:00:00"/>
    <x v="2"/>
    <s v="CK-12325"/>
    <s v="Christine Kargatis"/>
    <x v="2"/>
    <s v="United States"/>
    <x v="8"/>
    <x v="15"/>
    <x v="2"/>
    <s v="FUR-FU-10004973"/>
    <s v="Furniture"/>
    <x v="3"/>
    <s v="Flat Face Poster Frame"/>
    <n v="30.143999999999998"/>
    <n v="2"/>
    <n v="8.2896000000000001"/>
    <x v="0"/>
    <x v="11"/>
  </r>
  <r>
    <s v="CA-2017-109085"/>
    <x v="506"/>
    <d v="2017-02-20T00:00:00"/>
    <x v="2"/>
    <s v="CK-12325"/>
    <s v="Christine Kargatis"/>
    <x v="2"/>
    <s v="United States"/>
    <x v="8"/>
    <x v="15"/>
    <x v="2"/>
    <s v="FUR-CH-10003981"/>
    <s v="Furniture"/>
    <x v="1"/>
    <s v="Global Commerce Series Low-Back Swivel/Tilt Chairs"/>
    <n v="899.43"/>
    <n v="5"/>
    <n v="-12.849"/>
    <x v="0"/>
    <x v="11"/>
  </r>
  <r>
    <s v="CA-2016-114860"/>
    <x v="286"/>
    <d v="2016-12-28T00:00:00"/>
    <x v="1"/>
    <s v="DN-13690"/>
    <s v="Duane Noonan"/>
    <x v="0"/>
    <s v="United States"/>
    <x v="363"/>
    <x v="2"/>
    <x v="1"/>
    <s v="FUR-FU-10000277"/>
    <s v="Furniture"/>
    <x v="3"/>
    <s v="Deflect-o DuraMat Antistatic Studded Beveled Mat for Medium Pile Carpeting"/>
    <n v="842.72"/>
    <n v="8"/>
    <n v="202.25280000000001"/>
    <x v="6"/>
    <x v="5"/>
  </r>
  <r>
    <s v="CA-2016-114860"/>
    <x v="286"/>
    <d v="2016-12-28T00:00:00"/>
    <x v="1"/>
    <s v="DN-13690"/>
    <s v="Duane Noonan"/>
    <x v="0"/>
    <s v="United States"/>
    <x v="363"/>
    <x v="2"/>
    <x v="1"/>
    <s v="FUR-FU-10001934"/>
    <s v="Furniture"/>
    <x v="3"/>
    <s v="Magnifier Swing Arm Lamp"/>
    <n v="41.96"/>
    <n v="2"/>
    <n v="10.909599999999999"/>
    <x v="6"/>
    <x v="5"/>
  </r>
  <r>
    <s v="CA-2016-159009"/>
    <x v="348"/>
    <d v="2016-09-27T00:00:00"/>
    <x v="1"/>
    <s v="DP-13105"/>
    <s v="Dave Poirier"/>
    <x v="1"/>
    <s v="United States"/>
    <x v="15"/>
    <x v="13"/>
    <x v="1"/>
    <s v="FUR-CH-10003396"/>
    <s v="Furniture"/>
    <x v="1"/>
    <s v="Global Deluxe Steno Chair"/>
    <n v="184.75200000000001"/>
    <n v="3"/>
    <n v="-20.784600000000001"/>
    <x v="4"/>
    <x v="4"/>
  </r>
  <r>
    <s v="CA-2017-148411"/>
    <x v="118"/>
    <d v="2017-09-26T00:00:00"/>
    <x v="2"/>
    <s v="RO-19780"/>
    <s v="Rose O'Brian"/>
    <x v="0"/>
    <s v="United States"/>
    <x v="9"/>
    <x v="8"/>
    <x v="3"/>
    <s v="FUR-CH-10003973"/>
    <s v="Furniture"/>
    <x v="1"/>
    <s v="GuestStacker Chair with Chrome Finish Legs"/>
    <n v="520.46400000000006"/>
    <n v="2"/>
    <n v="-14.8704"/>
    <x v="3"/>
    <x v="4"/>
  </r>
  <r>
    <s v="CA-2016-168046"/>
    <x v="859"/>
    <d v="2016-01-28T00:00:00"/>
    <x v="0"/>
    <s v="JD-15895"/>
    <s v="Jonathan Doherty"/>
    <x v="1"/>
    <s v="United States"/>
    <x v="13"/>
    <x v="7"/>
    <x v="2"/>
    <s v="FUR-TA-10001095"/>
    <s v="Furniture"/>
    <x v="2"/>
    <s v="Chromcraft Round Conference Tables"/>
    <n v="313.72199999999998"/>
    <n v="3"/>
    <n v="-99.345299999999995"/>
    <x v="0"/>
    <x v="8"/>
  </r>
  <r>
    <s v="CA-2016-168046"/>
    <x v="859"/>
    <d v="2016-01-28T00:00:00"/>
    <x v="0"/>
    <s v="JD-15895"/>
    <s v="Jonathan Doherty"/>
    <x v="1"/>
    <s v="United States"/>
    <x v="13"/>
    <x v="7"/>
    <x v="2"/>
    <s v="FUR-FU-10000747"/>
    <s v="Furniture"/>
    <x v="3"/>
    <s v="Tenex B1-RE Series Chair Mats for Low Pile Carpets"/>
    <n v="45.98"/>
    <n v="1"/>
    <n v="7.8166000000000002"/>
    <x v="0"/>
    <x v="8"/>
  </r>
  <r>
    <s v="CA-2017-111591"/>
    <x v="555"/>
    <d v="2017-03-25T00:00:00"/>
    <x v="1"/>
    <s v="PS-18970"/>
    <s v="Paul Stevenson"/>
    <x v="2"/>
    <s v="United States"/>
    <x v="15"/>
    <x v="13"/>
    <x v="1"/>
    <s v="FUR-FU-10002364"/>
    <s v="Furniture"/>
    <x v="3"/>
    <s v="Eldon Expressions Wood Desk Accessories, Oak"/>
    <n v="22.14"/>
    <n v="3"/>
    <n v="6.4206000000000003"/>
    <x v="4"/>
    <x v="9"/>
  </r>
  <r>
    <s v="CA-2017-113460"/>
    <x v="388"/>
    <d v="2017-11-09T00:00:00"/>
    <x v="0"/>
    <s v="KN-16390"/>
    <s v="Katherine Nockton"/>
    <x v="1"/>
    <s v="United States"/>
    <x v="218"/>
    <x v="32"/>
    <x v="2"/>
    <s v="FUR-CH-10000422"/>
    <s v="Furniture"/>
    <x v="1"/>
    <s v="Global Highback Leather Tilter in Burgundy"/>
    <n v="272.97000000000003"/>
    <n v="3"/>
    <n v="43.675199999999997"/>
    <x v="3"/>
    <x v="0"/>
  </r>
  <r>
    <s v="CA-2015-111339"/>
    <x v="860"/>
    <d v="2015-05-31T00:00:00"/>
    <x v="2"/>
    <s v="VP-21760"/>
    <s v="Victoria Pisteka"/>
    <x v="1"/>
    <s v="United States"/>
    <x v="29"/>
    <x v="15"/>
    <x v="2"/>
    <s v="FUR-FU-10002506"/>
    <s v="Furniture"/>
    <x v="3"/>
    <s v="Tensor &quot;Hersey Kiss&quot; Styled Floor Lamp"/>
    <n v="41.567999999999998"/>
    <n v="4"/>
    <n v="-4.1567999999999996"/>
    <x v="3"/>
    <x v="7"/>
  </r>
  <r>
    <s v="CA-2015-111339"/>
    <x v="860"/>
    <d v="2015-05-31T00:00:00"/>
    <x v="2"/>
    <s v="VP-21760"/>
    <s v="Victoria Pisteka"/>
    <x v="1"/>
    <s v="United States"/>
    <x v="29"/>
    <x v="15"/>
    <x v="2"/>
    <s v="FUR-CH-10000863"/>
    <s v="Furniture"/>
    <x v="1"/>
    <s v="Novimex Swivel Fabric Task Chair"/>
    <n v="317.05799999999999"/>
    <n v="3"/>
    <n v="-86.058599999999998"/>
    <x v="3"/>
    <x v="7"/>
  </r>
  <r>
    <s v="CA-2014-154158"/>
    <x v="520"/>
    <d v="2014-12-27T00:00:00"/>
    <x v="0"/>
    <s v="CC-12670"/>
    <s v="Craig Carreira"/>
    <x v="0"/>
    <s v="United States"/>
    <x v="26"/>
    <x v="1"/>
    <x v="0"/>
    <s v="FUR-CH-10004698"/>
    <s v="Furniture"/>
    <x v="1"/>
    <s v="Padded Folding Chairs, Black, 4/Carton"/>
    <n v="64.784000000000006"/>
    <n v="1"/>
    <n v="6.4783999999999997"/>
    <x v="4"/>
    <x v="5"/>
  </r>
  <r>
    <s v="CA-2017-163097"/>
    <x v="60"/>
    <d v="2017-08-31T00:00:00"/>
    <x v="1"/>
    <s v="SF-20200"/>
    <s v="Sarah Foster"/>
    <x v="0"/>
    <s v="United States"/>
    <x v="81"/>
    <x v="22"/>
    <x v="1"/>
    <s v="FUR-FU-10004973"/>
    <s v="Furniture"/>
    <x v="3"/>
    <s v="Flat Face Poster Frame"/>
    <n v="120.57599999999999"/>
    <n v="8"/>
    <n v="33.1584"/>
    <x v="4"/>
    <x v="10"/>
  </r>
  <r>
    <s v="CA-2015-130848"/>
    <x v="551"/>
    <d v="2015-10-25T00:00:00"/>
    <x v="3"/>
    <s v="DG-13300"/>
    <s v="Deirdre Greer"/>
    <x v="1"/>
    <s v="United States"/>
    <x v="22"/>
    <x v="12"/>
    <x v="1"/>
    <s v="FUR-CH-10000422"/>
    <s v="Furniture"/>
    <x v="1"/>
    <s v="Global Highback Leather Tilter in Burgundy"/>
    <n v="582.33600000000001"/>
    <n v="8"/>
    <n v="-29.116800000000001"/>
    <x v="7"/>
    <x v="1"/>
  </r>
  <r>
    <s v="CA-2014-125997"/>
    <x v="23"/>
    <d v="2014-09-23T00:00:00"/>
    <x v="2"/>
    <s v="MW-18220"/>
    <s v="Mitch Webber"/>
    <x v="0"/>
    <s v="United States"/>
    <x v="13"/>
    <x v="7"/>
    <x v="2"/>
    <s v="FUR-CH-10001394"/>
    <s v="Furniture"/>
    <x v="1"/>
    <s v="Global Leather Executive Chair"/>
    <n v="631.78200000000004"/>
    <n v="2"/>
    <n v="140.39599999999999"/>
    <x v="0"/>
    <x v="4"/>
  </r>
  <r>
    <s v="CA-2014-125997"/>
    <x v="23"/>
    <d v="2014-09-23T00:00:00"/>
    <x v="2"/>
    <s v="MW-18220"/>
    <s v="Mitch Webber"/>
    <x v="0"/>
    <s v="United States"/>
    <x v="13"/>
    <x v="7"/>
    <x v="2"/>
    <s v="FUR-BO-10002213"/>
    <s v="Furniture"/>
    <x v="0"/>
    <s v="DMI Eclipse Executive Suite Bookcases"/>
    <n v="801.56799999999998"/>
    <n v="2"/>
    <n v="-10.019600000000001"/>
    <x v="0"/>
    <x v="4"/>
  </r>
  <r>
    <s v="CA-2014-159814"/>
    <x v="861"/>
    <d v="2014-06-28T00:00:00"/>
    <x v="1"/>
    <s v="LP-17080"/>
    <s v="Liz Pelletier"/>
    <x v="0"/>
    <s v="United States"/>
    <x v="104"/>
    <x v="22"/>
    <x v="1"/>
    <s v="FUR-FU-10001731"/>
    <s v="Furniture"/>
    <x v="3"/>
    <s v="Acrylic Self-Standing Desk Frames"/>
    <n v="4.2720000000000002"/>
    <n v="2"/>
    <n v="0.96120000000000005"/>
    <x v="4"/>
    <x v="2"/>
  </r>
  <r>
    <s v="CA-2016-105459"/>
    <x v="577"/>
    <d v="2016-08-17T00:00:00"/>
    <x v="0"/>
    <s v="NP-18700"/>
    <s v="Nora Preis"/>
    <x v="0"/>
    <s v="United States"/>
    <x v="13"/>
    <x v="7"/>
    <x v="2"/>
    <s v="FUR-TA-10001095"/>
    <s v="Furniture"/>
    <x v="2"/>
    <s v="Chromcraft Round Conference Tables"/>
    <n v="209.148"/>
    <n v="2"/>
    <n v="-66.230199999999996"/>
    <x v="2"/>
    <x v="10"/>
  </r>
  <r>
    <s v="CA-2017-162789"/>
    <x v="320"/>
    <d v="2017-09-24T00:00:00"/>
    <x v="0"/>
    <s v="LC-17140"/>
    <s v="Logan Currie"/>
    <x v="0"/>
    <s v="United States"/>
    <x v="13"/>
    <x v="7"/>
    <x v="2"/>
    <s v="FUR-FU-10004864"/>
    <s v="Furniture"/>
    <x v="3"/>
    <s v="Eldon 500 Class Desk Accessories"/>
    <n v="12.07"/>
    <n v="1"/>
    <n v="3.9830999999999999"/>
    <x v="3"/>
    <x v="4"/>
  </r>
  <r>
    <s v="US-2017-110149"/>
    <x v="247"/>
    <d v="2017-12-13T00:00:00"/>
    <x v="2"/>
    <s v="WB-21850"/>
    <s v="William Brown"/>
    <x v="0"/>
    <s v="United States"/>
    <x v="3"/>
    <x v="3"/>
    <x v="2"/>
    <s v="FUR-FU-10001475"/>
    <s v="Furniture"/>
    <x v="3"/>
    <s v="Contract Clock, 14&quot;, Brown"/>
    <n v="87.92"/>
    <n v="5"/>
    <n v="15.385999999999999"/>
    <x v="0"/>
    <x v="5"/>
  </r>
  <r>
    <s v="CA-2015-164777"/>
    <x v="369"/>
    <d v="2015-01-29T00:00:00"/>
    <x v="2"/>
    <s v="SC-20305"/>
    <s v="Sean Christensen"/>
    <x v="0"/>
    <s v="United States"/>
    <x v="2"/>
    <x v="2"/>
    <x v="1"/>
    <s v="FUR-CH-10002024"/>
    <s v="Furniture"/>
    <x v="1"/>
    <s v="HON 5400 Series Task Chairs for Big and Tall"/>
    <n v="2803.92"/>
    <n v="5"/>
    <n v="0"/>
    <x v="3"/>
    <x v="8"/>
  </r>
  <r>
    <s v="CA-2015-127824"/>
    <x v="862"/>
    <d v="2015-10-22T00:00:00"/>
    <x v="1"/>
    <s v="JC-15775"/>
    <s v="John Castell"/>
    <x v="0"/>
    <s v="United States"/>
    <x v="15"/>
    <x v="13"/>
    <x v="1"/>
    <s v="FUR-FU-10002505"/>
    <s v="Furniture"/>
    <x v="3"/>
    <s v="Eldon 100 Class Desk Accessories"/>
    <n v="10.11"/>
    <n v="3"/>
    <n v="3.2351999999999999"/>
    <x v="4"/>
    <x v="1"/>
  </r>
  <r>
    <s v="CA-2014-116246"/>
    <x v="639"/>
    <d v="2014-09-17T00:00:00"/>
    <x v="0"/>
    <s v="LW-17215"/>
    <s v="Luke Weiss"/>
    <x v="0"/>
    <s v="United States"/>
    <x v="13"/>
    <x v="7"/>
    <x v="2"/>
    <s v="FUR-CH-10002024"/>
    <s v="Furniture"/>
    <x v="1"/>
    <s v="HON 5400 Series Task Chairs for Big and Tall"/>
    <n v="3785.2919999999999"/>
    <n v="6"/>
    <n v="420.58800000000002"/>
    <x v="2"/>
    <x v="4"/>
  </r>
  <r>
    <s v="CA-2014-167486"/>
    <x v="863"/>
    <d v="2014-12-01T00:00:00"/>
    <x v="1"/>
    <s v="JO-15145"/>
    <s v="Jack O'Briant"/>
    <x v="1"/>
    <s v="United States"/>
    <x v="252"/>
    <x v="7"/>
    <x v="2"/>
    <s v="FUR-FU-10003268"/>
    <s v="Furniture"/>
    <x v="3"/>
    <s v="Eldon Radial Chair Mat for Low to Medium Pile Carpets"/>
    <n v="199.9"/>
    <n v="5"/>
    <n v="39.979999999999997"/>
    <x v="4"/>
    <x v="0"/>
  </r>
  <r>
    <s v="CA-2014-152100"/>
    <x v="89"/>
    <d v="2014-05-16T00:00:00"/>
    <x v="1"/>
    <s v="VW-21775"/>
    <s v="Victoria Wilson"/>
    <x v="1"/>
    <s v="United States"/>
    <x v="156"/>
    <x v="5"/>
    <x v="3"/>
    <s v="FUR-CH-10000015"/>
    <s v="Furniture"/>
    <x v="1"/>
    <s v="Hon Multipurpose Stacking Arm Chairs"/>
    <n v="1212.96"/>
    <n v="8"/>
    <n v="-69.311999999999998"/>
    <x v="2"/>
    <x v="7"/>
  </r>
  <r>
    <s v="CA-2015-166219"/>
    <x v="797"/>
    <d v="2015-09-01T00:00:00"/>
    <x v="1"/>
    <s v="BP-11185"/>
    <s v="Ben Peterman"/>
    <x v="1"/>
    <s v="United States"/>
    <x v="144"/>
    <x v="5"/>
    <x v="3"/>
    <s v="FUR-TA-10004607"/>
    <s v="Furniture"/>
    <x v="2"/>
    <s v="Hon 2111 Invitation Series Straight Table"/>
    <n v="103.48099999999999"/>
    <n v="1"/>
    <n v="-16.261299999999999"/>
    <x v="4"/>
    <x v="10"/>
  </r>
  <r>
    <s v="CA-2017-136882"/>
    <x v="706"/>
    <d v="2017-06-03T00:00:00"/>
    <x v="1"/>
    <s v="DN-13690"/>
    <s v="Duane Noonan"/>
    <x v="0"/>
    <s v="United States"/>
    <x v="169"/>
    <x v="37"/>
    <x v="3"/>
    <s v="FUR-FU-10003664"/>
    <s v="Furniture"/>
    <x v="3"/>
    <s v="Electrix Architect's Clamp-On Swing Arm Lamp, Black"/>
    <n v="477.3"/>
    <n v="5"/>
    <n v="138.417"/>
    <x v="1"/>
    <x v="7"/>
  </r>
  <r>
    <s v="US-2017-109610"/>
    <x v="608"/>
    <d v="2017-11-30T00:00:00"/>
    <x v="0"/>
    <s v="BS-11590"/>
    <s v="Brendan Sweed"/>
    <x v="1"/>
    <s v="United States"/>
    <x v="74"/>
    <x v="0"/>
    <x v="0"/>
    <s v="FUR-CH-10001854"/>
    <s v="Furniture"/>
    <x v="1"/>
    <s v="Office Star - Professional Matrix Back Chair with 2-to-1 Synchro Tilt and Mesh Fabric Seat"/>
    <n v="701.96"/>
    <n v="2"/>
    <n v="168.47040000000001"/>
    <x v="2"/>
    <x v="0"/>
  </r>
  <r>
    <s v="CA-2016-126858"/>
    <x v="185"/>
    <d v="2016-11-23T00:00:00"/>
    <x v="1"/>
    <s v="JM-15265"/>
    <s v="Janet Molinari"/>
    <x v="1"/>
    <s v="United States"/>
    <x v="15"/>
    <x v="13"/>
    <x v="1"/>
    <s v="FUR-FU-10000448"/>
    <s v="Furniture"/>
    <x v="3"/>
    <s v="Tenex Chairmats For Use With Carpeted Floors"/>
    <n v="31.96"/>
    <n v="2"/>
    <n v="1.5980000000000001"/>
    <x v="4"/>
    <x v="0"/>
  </r>
  <r>
    <s v="CA-2017-102925"/>
    <x v="864"/>
    <d v="2017-11-10T00:00:00"/>
    <x v="0"/>
    <s v="CD-12280"/>
    <s v="Christina DeMoss"/>
    <x v="0"/>
    <s v="United States"/>
    <x v="13"/>
    <x v="7"/>
    <x v="2"/>
    <s v="FUR-TA-10003469"/>
    <s v="Furniture"/>
    <x v="2"/>
    <s v="Balt Split Level Computer Training Table"/>
    <n v="166.5"/>
    <n v="2"/>
    <n v="-66.599999999999994"/>
    <x v="2"/>
    <x v="0"/>
  </r>
  <r>
    <s v="CA-2017-102925"/>
    <x v="864"/>
    <d v="2017-11-10T00:00:00"/>
    <x v="0"/>
    <s v="CD-12280"/>
    <s v="Christina DeMoss"/>
    <x v="0"/>
    <s v="United States"/>
    <x v="13"/>
    <x v="7"/>
    <x v="2"/>
    <s v="FUR-CH-10004875"/>
    <s v="Furniture"/>
    <x v="1"/>
    <s v="Harbour Creations 67200 Series Stacking Chairs"/>
    <n v="128.124"/>
    <n v="2"/>
    <n v="24.2012"/>
    <x v="2"/>
    <x v="0"/>
  </r>
  <r>
    <s v="CA-2017-102925"/>
    <x v="864"/>
    <d v="2017-11-10T00:00:00"/>
    <x v="0"/>
    <s v="CD-12280"/>
    <s v="Christina DeMoss"/>
    <x v="0"/>
    <s v="United States"/>
    <x v="13"/>
    <x v="7"/>
    <x v="2"/>
    <s v="FUR-FU-10004245"/>
    <s v="Furniture"/>
    <x v="3"/>
    <s v="Career Cubicle Clock, 8 1/4&quot;, Black"/>
    <n v="101.4"/>
    <n v="5"/>
    <n v="38.531999999999996"/>
    <x v="2"/>
    <x v="0"/>
  </r>
  <r>
    <s v="CA-2015-100818"/>
    <x v="151"/>
    <d v="2015-06-05T00:00:00"/>
    <x v="0"/>
    <s v="JM-15265"/>
    <s v="Janet Molinari"/>
    <x v="1"/>
    <s v="United States"/>
    <x v="9"/>
    <x v="8"/>
    <x v="3"/>
    <s v="FUR-FU-10002703"/>
    <s v="Furniture"/>
    <x v="3"/>
    <s v="Tenex Traditional Chairmats for Hard Floors, Average Lip, 36&quot; x 48&quot;"/>
    <n v="51.56"/>
    <n v="2"/>
    <n v="-61.872"/>
    <x v="2"/>
    <x v="7"/>
  </r>
  <r>
    <s v="CA-2016-164770"/>
    <x v="674"/>
    <d v="2016-12-04T00:00:00"/>
    <x v="0"/>
    <s v="MY-18295"/>
    <s v="Muhammed Yedwab"/>
    <x v="1"/>
    <s v="United States"/>
    <x v="6"/>
    <x v="5"/>
    <x v="3"/>
    <s v="FUR-BO-10003893"/>
    <s v="Furniture"/>
    <x v="0"/>
    <s v="Sauder Camden County Collection Library"/>
    <n v="781.86400000000003"/>
    <n v="10"/>
    <n v="-137.976"/>
    <x v="3"/>
    <x v="5"/>
  </r>
  <r>
    <s v="CA-2017-130505"/>
    <x v="176"/>
    <d v="2017-10-12T00:00:00"/>
    <x v="3"/>
    <s v="NF-18385"/>
    <s v="Natalie Fritzler"/>
    <x v="0"/>
    <s v="United States"/>
    <x v="167"/>
    <x v="47"/>
    <x v="2"/>
    <s v="FUR-TA-10001932"/>
    <s v="Furniture"/>
    <x v="2"/>
    <s v="Chromcraft 48&quot; x 96&quot; Racetrack Double Pedestal Table"/>
    <n v="673.34400000000005"/>
    <n v="3"/>
    <n v="-76.953599999999994"/>
    <x v="7"/>
    <x v="1"/>
  </r>
  <r>
    <s v="CA-2016-105207"/>
    <x v="865"/>
    <d v="2016-01-08T00:00:00"/>
    <x v="1"/>
    <s v="BO-11350"/>
    <s v="Bill Overfelt"/>
    <x v="1"/>
    <s v="United States"/>
    <x v="364"/>
    <x v="37"/>
    <x v="3"/>
    <s v="FUR-TA-10000617"/>
    <s v="Furniture"/>
    <x v="2"/>
    <s v="Hon Practical Foundations 30 x 60 Training Table, Light Gray/Charcoal"/>
    <n v="1592.85"/>
    <n v="7"/>
    <n v="350.42700000000002"/>
    <x v="2"/>
    <x v="8"/>
  </r>
  <r>
    <s v="CA-2016-149237"/>
    <x v="205"/>
    <d v="2016-05-30T00:00:00"/>
    <x v="1"/>
    <s v="CM-12235"/>
    <s v="Chris McAfee"/>
    <x v="0"/>
    <s v="United States"/>
    <x v="79"/>
    <x v="16"/>
    <x v="3"/>
    <s v="FUR-FU-10002088"/>
    <s v="Furniture"/>
    <x v="3"/>
    <s v="Nu-Dell Float Frame 11 x 14 1/2"/>
    <n v="26.94"/>
    <n v="3"/>
    <n v="11.3148"/>
    <x v="4"/>
    <x v="7"/>
  </r>
  <r>
    <s v="US-2015-158589"/>
    <x v="141"/>
    <d v="2015-11-24T00:00:00"/>
    <x v="1"/>
    <s v="KW-16570"/>
    <s v="Kelly Williams"/>
    <x v="0"/>
    <s v="United States"/>
    <x v="28"/>
    <x v="2"/>
    <x v="1"/>
    <s v="FUR-FU-10001546"/>
    <s v="Furniture"/>
    <x v="3"/>
    <s v="Dana Swing-Arm Lamps"/>
    <n v="32.04"/>
    <n v="3"/>
    <n v="8.01"/>
    <x v="4"/>
    <x v="0"/>
  </r>
  <r>
    <s v="CA-2017-142461"/>
    <x v="703"/>
    <d v="2017-06-03T00:00:00"/>
    <x v="0"/>
    <s v="KT-16480"/>
    <s v="Kean Thornton"/>
    <x v="0"/>
    <s v="United States"/>
    <x v="144"/>
    <x v="5"/>
    <x v="3"/>
    <s v="FUR-BO-10001811"/>
    <s v="Furniture"/>
    <x v="0"/>
    <s v="Atlantic Metals Mobile 5-Shelf Bookcases, Custom Colors"/>
    <n v="204.66640000000001"/>
    <n v="1"/>
    <n v="-6.0195999999999996"/>
    <x v="4"/>
    <x v="7"/>
  </r>
  <r>
    <s v="CA-2017-156958"/>
    <x v="446"/>
    <d v="2017-12-06T00:00:00"/>
    <x v="2"/>
    <s v="PB-18805"/>
    <s v="Patrick Bzostek"/>
    <x v="2"/>
    <s v="United States"/>
    <x v="15"/>
    <x v="13"/>
    <x v="1"/>
    <s v="FUR-FU-10003268"/>
    <s v="Furniture"/>
    <x v="3"/>
    <s v="Eldon Radial Chair Mat for Low to Medium Pile Carpets"/>
    <n v="199.9"/>
    <n v="5"/>
    <n v="39.979999999999997"/>
    <x v="5"/>
    <x v="5"/>
  </r>
  <r>
    <s v="CA-2016-116596"/>
    <x v="78"/>
    <d v="2016-10-31T00:00:00"/>
    <x v="1"/>
    <s v="BW-11200"/>
    <s v="Ben Wallace"/>
    <x v="0"/>
    <s v="United States"/>
    <x v="13"/>
    <x v="7"/>
    <x v="2"/>
    <s v="FUR-CH-10000553"/>
    <s v="Furniture"/>
    <x v="1"/>
    <s v="Metal Folding Chairs, Beige, 4/Carton"/>
    <n v="427.64400000000001"/>
    <n v="14"/>
    <n v="80.777199999999993"/>
    <x v="4"/>
    <x v="1"/>
  </r>
  <r>
    <s v="CA-2017-124191"/>
    <x v="235"/>
    <d v="2017-06-14T00:00:00"/>
    <x v="0"/>
    <s v="TS-21610"/>
    <s v="Troy Staebel"/>
    <x v="0"/>
    <s v="United States"/>
    <x v="9"/>
    <x v="8"/>
    <x v="3"/>
    <s v="FUR-FU-10002364"/>
    <s v="Furniture"/>
    <x v="3"/>
    <s v="Eldon Expressions Wood Desk Accessories, Oak"/>
    <n v="8.8559999999999999"/>
    <n v="3"/>
    <n v="-6.8634000000000004"/>
    <x v="3"/>
    <x v="2"/>
  </r>
  <r>
    <s v="CA-2016-148747"/>
    <x v="228"/>
    <d v="2016-09-27T00:00:00"/>
    <x v="2"/>
    <s v="AS-10045"/>
    <s v="Aaron Smayling"/>
    <x v="1"/>
    <s v="United States"/>
    <x v="28"/>
    <x v="2"/>
    <x v="1"/>
    <s v="FUR-BO-10002613"/>
    <s v="Furniture"/>
    <x v="0"/>
    <s v="Atlantic Metals Mobile 4-Shelf Bookcases, Custom Colors"/>
    <n v="477.666"/>
    <n v="2"/>
    <n v="84.293999999999997"/>
    <x v="3"/>
    <x v="4"/>
  </r>
  <r>
    <s v="CA-2015-135727"/>
    <x v="866"/>
    <d v="2015-05-16T00:00:00"/>
    <x v="0"/>
    <s v="PS-18970"/>
    <s v="Paul Stevenson"/>
    <x v="2"/>
    <s v="United States"/>
    <x v="43"/>
    <x v="22"/>
    <x v="1"/>
    <s v="FUR-CH-10004540"/>
    <s v="Furniture"/>
    <x v="1"/>
    <s v="Global Chrome Stack Chair"/>
    <n v="191.96799999999999"/>
    <n v="7"/>
    <n v="16.7972"/>
    <x v="2"/>
    <x v="7"/>
  </r>
  <r>
    <s v="CA-2015-135251"/>
    <x v="867"/>
    <d v="2015-08-10T00:00:00"/>
    <x v="1"/>
    <s v="RP-19270"/>
    <s v="Rachel Payne"/>
    <x v="1"/>
    <s v="United States"/>
    <x v="6"/>
    <x v="5"/>
    <x v="3"/>
    <s v="FUR-BO-10003965"/>
    <s v="Furniture"/>
    <x v="0"/>
    <s v="O'Sullivan Manor Hill 2-Door Library in Brianna Oak"/>
    <n v="369.19920000000002"/>
    <n v="3"/>
    <n v="-114.01739999999999"/>
    <x v="4"/>
    <x v="10"/>
  </r>
  <r>
    <s v="CA-2016-125724"/>
    <x v="710"/>
    <d v="2016-09-27T00:00:00"/>
    <x v="1"/>
    <s v="SM-20950"/>
    <s v="Suzanne McNair"/>
    <x v="1"/>
    <s v="United States"/>
    <x v="131"/>
    <x v="12"/>
    <x v="1"/>
    <s v="FUR-FU-10000246"/>
    <s v="Furniture"/>
    <x v="3"/>
    <s v="Aluminum Document Frame"/>
    <n v="68.432000000000002"/>
    <n v="7"/>
    <n v="8.5540000000000003"/>
    <x v="2"/>
    <x v="4"/>
  </r>
  <r>
    <s v="CA-2015-111612"/>
    <x v="44"/>
    <d v="2015-12-02T00:00:00"/>
    <x v="1"/>
    <s v="EB-14110"/>
    <s v="Eugene Barchas"/>
    <x v="0"/>
    <s v="United States"/>
    <x v="29"/>
    <x v="15"/>
    <x v="2"/>
    <s v="FUR-FU-10003799"/>
    <s v="Furniture"/>
    <x v="3"/>
    <s v="Seth Thomas 13 1/2&quot; Wall Clock"/>
    <n v="71.12"/>
    <n v="5"/>
    <n v="9.7789999999999999"/>
    <x v="4"/>
    <x v="0"/>
  </r>
  <r>
    <s v="CA-2014-103086"/>
    <x v="868"/>
    <d v="2014-10-19T00:00:00"/>
    <x v="0"/>
    <s v="EB-14170"/>
    <s v="Evan Bailliet"/>
    <x v="0"/>
    <s v="United States"/>
    <x v="6"/>
    <x v="5"/>
    <x v="3"/>
    <s v="FUR-FU-10004586"/>
    <s v="Furniture"/>
    <x v="3"/>
    <s v="G.E. Longer-Life Indoor Recessed Floodlight Bulbs"/>
    <n v="5.3120000000000003"/>
    <n v="2"/>
    <n v="-1.5935999999999999"/>
    <x v="3"/>
    <x v="1"/>
  </r>
  <r>
    <s v="CA-2016-129280"/>
    <x v="869"/>
    <d v="2016-05-05T00:00:00"/>
    <x v="2"/>
    <s v="SM-20905"/>
    <s v="Susan MacKendrick"/>
    <x v="0"/>
    <s v="United States"/>
    <x v="19"/>
    <x v="15"/>
    <x v="2"/>
    <s v="FUR-FU-10001876"/>
    <s v="Furniture"/>
    <x v="3"/>
    <s v="Computer Room Manger, 14&quot;"/>
    <n v="51.968000000000004"/>
    <n v="2"/>
    <n v="10.393599999999999"/>
    <x v="3"/>
    <x v="7"/>
  </r>
  <r>
    <s v="CA-2014-130428"/>
    <x v="870"/>
    <d v="2014-03-31T00:00:00"/>
    <x v="3"/>
    <s v="TG-21640"/>
    <s v="Trudy Glocke"/>
    <x v="0"/>
    <s v="United States"/>
    <x v="26"/>
    <x v="1"/>
    <x v="0"/>
    <s v="FUR-CH-10002965"/>
    <s v="Furniture"/>
    <x v="1"/>
    <s v="Global Leather Highback Executive Chair with Pneumatic Height Adjustment, Black"/>
    <n v="1125.4880000000001"/>
    <n v="7"/>
    <n v="98.480199999999996"/>
    <x v="7"/>
    <x v="9"/>
  </r>
  <r>
    <s v="CA-2015-148495"/>
    <x v="871"/>
    <d v="2015-08-13T00:00:00"/>
    <x v="3"/>
    <s v="SF-20065"/>
    <s v="Sandra Flanagan"/>
    <x v="0"/>
    <s v="United States"/>
    <x v="135"/>
    <x v="2"/>
    <x v="1"/>
    <s v="FUR-FU-10001889"/>
    <s v="Furniture"/>
    <x v="3"/>
    <s v="Ultra Door Pull Handle"/>
    <n v="31.56"/>
    <n v="3"/>
    <n v="10.4148"/>
    <x v="7"/>
    <x v="10"/>
  </r>
  <r>
    <s v="CA-2015-143147"/>
    <x v="753"/>
    <d v="2015-05-28T00:00:00"/>
    <x v="0"/>
    <s v="PS-18760"/>
    <s v="Pamela Stobb"/>
    <x v="0"/>
    <s v="United States"/>
    <x v="21"/>
    <x v="5"/>
    <x v="3"/>
    <s v="FUR-CH-10000863"/>
    <s v="Furniture"/>
    <x v="1"/>
    <s v="Novimex Swivel Fabric Task Chair"/>
    <n v="105.68600000000001"/>
    <n v="1"/>
    <n v="-28.686199999999999"/>
    <x v="3"/>
    <x v="7"/>
  </r>
  <r>
    <s v="CA-2015-143147"/>
    <x v="753"/>
    <d v="2015-05-28T00:00:00"/>
    <x v="0"/>
    <s v="PS-18760"/>
    <s v="Pamela Stobb"/>
    <x v="0"/>
    <s v="United States"/>
    <x v="21"/>
    <x v="5"/>
    <x v="3"/>
    <s v="FUR-CH-10004754"/>
    <s v="Furniture"/>
    <x v="1"/>
    <s v="Global Stack Chair with Arms, Black"/>
    <n v="104.93"/>
    <n v="5"/>
    <n v="-4.4969999999999999"/>
    <x v="3"/>
    <x v="7"/>
  </r>
  <r>
    <s v="CA-2017-152975"/>
    <x v="732"/>
    <d v="2017-09-16T00:00:00"/>
    <x v="2"/>
    <s v="RB-19705"/>
    <s v="Roger Barcio"/>
    <x v="2"/>
    <s v="United States"/>
    <x v="13"/>
    <x v="7"/>
    <x v="2"/>
    <s v="FUR-CH-10003298"/>
    <s v="Furniture"/>
    <x v="1"/>
    <s v="Office Star - Contemporary Task Swivel chair with Loop Arms, Charcoal"/>
    <n v="589.41"/>
    <n v="5"/>
    <n v="-6.5490000000000004"/>
    <x v="3"/>
    <x v="4"/>
  </r>
  <r>
    <s v="CA-2017-116127"/>
    <x v="542"/>
    <d v="2017-06-27T00:00:00"/>
    <x v="0"/>
    <s v="SB-20185"/>
    <s v="Sarah Brown"/>
    <x v="0"/>
    <s v="United States"/>
    <x v="13"/>
    <x v="7"/>
    <x v="2"/>
    <s v="FUR-BO-10002213"/>
    <s v="Furniture"/>
    <x v="0"/>
    <s v="DMI Eclipse Executive Suite Bookcases"/>
    <n v="400.78399999999999"/>
    <n v="1"/>
    <n v="-5.0098000000000003"/>
    <x v="3"/>
    <x v="2"/>
  </r>
  <r>
    <s v="US-2016-105452"/>
    <x v="830"/>
    <d v="2016-08-01T00:00:00"/>
    <x v="1"/>
    <s v="BF-11005"/>
    <s v="Barry Franz"/>
    <x v="2"/>
    <s v="United States"/>
    <x v="102"/>
    <x v="5"/>
    <x v="3"/>
    <s v="FUR-FU-10003691"/>
    <s v="Furniture"/>
    <x v="3"/>
    <s v="Eldon Image Series Desk Accessories, Ebony"/>
    <n v="24.7"/>
    <n v="5"/>
    <n v="-9.8800000000000008"/>
    <x v="4"/>
    <x v="3"/>
  </r>
  <r>
    <s v="US-2016-105452"/>
    <x v="830"/>
    <d v="2016-08-01T00:00:00"/>
    <x v="1"/>
    <s v="BF-11005"/>
    <s v="Barry Franz"/>
    <x v="2"/>
    <s v="United States"/>
    <x v="102"/>
    <x v="5"/>
    <x v="3"/>
    <s v="FUR-FU-10003806"/>
    <s v="Furniture"/>
    <x v="3"/>
    <s v="Tenex Chairmat w/ Average Lip, 45&quot; x 53&quot;"/>
    <n v="302.72000000000003"/>
    <n v="5"/>
    <n v="-378.4"/>
    <x v="4"/>
    <x v="3"/>
  </r>
  <r>
    <s v="CA-2015-149517"/>
    <x v="208"/>
    <d v="2015-09-23T00:00:00"/>
    <x v="1"/>
    <s v="FC-14245"/>
    <s v="Frank Carlisle"/>
    <x v="2"/>
    <s v="United States"/>
    <x v="155"/>
    <x v="2"/>
    <x v="1"/>
    <s v="FUR-FU-10003464"/>
    <s v="Furniture"/>
    <x v="3"/>
    <s v="Seth Thomas 8 1/2&quot; Cubicle Clock"/>
    <n v="60.84"/>
    <n v="3"/>
    <n v="19.468800000000002"/>
    <x v="4"/>
    <x v="4"/>
  </r>
  <r>
    <s v="CA-2016-129861"/>
    <x v="9"/>
    <d v="2016-06-23T00:00:00"/>
    <x v="1"/>
    <s v="DM-13345"/>
    <s v="Denise Monton"/>
    <x v="1"/>
    <s v="United States"/>
    <x v="77"/>
    <x v="7"/>
    <x v="2"/>
    <s v="FUR-TA-10003715"/>
    <s v="Furniture"/>
    <x v="2"/>
    <s v="Hon 2111 Invitation Series Corner Table"/>
    <n v="376.86599999999999"/>
    <n v="3"/>
    <n v="-213.5574"/>
    <x v="6"/>
    <x v="2"/>
  </r>
  <r>
    <s v="CA-2016-130638"/>
    <x v="872"/>
    <d v="2016-05-19T00:00:00"/>
    <x v="0"/>
    <s v="SC-20095"/>
    <s v="Sanjit Chand"/>
    <x v="0"/>
    <s v="United States"/>
    <x v="2"/>
    <x v="2"/>
    <x v="1"/>
    <s v="FUR-FU-10002116"/>
    <s v="Furniture"/>
    <x v="3"/>
    <s v="Tenex Carpeted, Granite-Look or Clear Contemporary Contour Shape Chair Mats"/>
    <n v="282.83999999999997"/>
    <n v="4"/>
    <n v="19.7988"/>
    <x v="0"/>
    <x v="7"/>
  </r>
  <r>
    <s v="CA-2017-137449"/>
    <x v="656"/>
    <d v="2017-06-30T00:00:00"/>
    <x v="2"/>
    <s v="ME-17725"/>
    <s v="Max Engle"/>
    <x v="0"/>
    <s v="United States"/>
    <x v="144"/>
    <x v="5"/>
    <x v="3"/>
    <s v="FUR-TA-10002855"/>
    <s v="Furniture"/>
    <x v="2"/>
    <s v="Bevis Round Conference Table Top &amp; Single Column Base"/>
    <n v="307.31400000000002"/>
    <n v="3"/>
    <n v="-39.511800000000001"/>
    <x v="5"/>
    <x v="2"/>
  </r>
  <r>
    <s v="CA-2017-137449"/>
    <x v="656"/>
    <d v="2017-06-30T00:00:00"/>
    <x v="2"/>
    <s v="ME-17725"/>
    <s v="Max Engle"/>
    <x v="0"/>
    <s v="United States"/>
    <x v="144"/>
    <x v="5"/>
    <x v="3"/>
    <s v="FUR-BO-10000780"/>
    <s v="Furniture"/>
    <x v="0"/>
    <s v="O'Sullivan Plantations 2-Door Library in Landvery Oak"/>
    <n v="409.99919999999997"/>
    <n v="3"/>
    <n v="-96.470399999999998"/>
    <x v="5"/>
    <x v="2"/>
  </r>
  <r>
    <s v="CA-2014-151330"/>
    <x v="873"/>
    <d v="2014-10-17T00:00:00"/>
    <x v="2"/>
    <s v="TC-21295"/>
    <s v="Toby Carlisle"/>
    <x v="0"/>
    <s v="United States"/>
    <x v="114"/>
    <x v="20"/>
    <x v="2"/>
    <s v="FUR-CH-10000749"/>
    <s v="Furniture"/>
    <x v="1"/>
    <s v="Office Star - Ergonomic Mid Back Chair with 2-Way Adjustable Arms"/>
    <n v="1628.82"/>
    <n v="9"/>
    <n v="260.6112"/>
    <x v="0"/>
    <x v="1"/>
  </r>
  <r>
    <s v="CA-2014-124702"/>
    <x v="356"/>
    <d v="2014-11-25T00:00:00"/>
    <x v="1"/>
    <s v="MH-17785"/>
    <s v="Maya Herman"/>
    <x v="1"/>
    <s v="United States"/>
    <x v="15"/>
    <x v="13"/>
    <x v="1"/>
    <s v="FUR-FU-10003553"/>
    <s v="Furniture"/>
    <x v="3"/>
    <s v="Howard Miller 13-1/2&quot; Diameter Rosebrook Wall Clock"/>
    <n v="137.54"/>
    <n v="2"/>
    <n v="55.015999999999998"/>
    <x v="1"/>
    <x v="0"/>
  </r>
  <r>
    <s v="CA-2014-124702"/>
    <x v="356"/>
    <d v="2014-11-25T00:00:00"/>
    <x v="1"/>
    <s v="MH-17785"/>
    <s v="Maya Herman"/>
    <x v="1"/>
    <s v="United States"/>
    <x v="15"/>
    <x v="13"/>
    <x v="1"/>
    <s v="FUR-TA-10003008"/>
    <s v="Furniture"/>
    <x v="2"/>
    <s v="Lesro Round Back Collection Coffee Table, End Table"/>
    <n v="730.2"/>
    <n v="4"/>
    <n v="94.926000000000002"/>
    <x v="1"/>
    <x v="0"/>
  </r>
  <r>
    <s v="CA-2015-116638"/>
    <x v="874"/>
    <d v="2015-01-31T00:00:00"/>
    <x v="0"/>
    <s v="JH-15985"/>
    <s v="Joseph Holt"/>
    <x v="0"/>
    <s v="United States"/>
    <x v="41"/>
    <x v="30"/>
    <x v="0"/>
    <s v="FUR-TA-10000198"/>
    <s v="Furniture"/>
    <x v="2"/>
    <s v="Chromcraft Bull-Nose Wood Oval Conference Tables &amp; Bases"/>
    <n v="4297.6440000000002"/>
    <n v="13"/>
    <n v="-1862.3124"/>
    <x v="0"/>
    <x v="8"/>
  </r>
  <r>
    <s v="CA-2014-104563"/>
    <x v="600"/>
    <d v="2014-03-12T00:00:00"/>
    <x v="1"/>
    <s v="CM-12715"/>
    <s v="Craig Molinari"/>
    <x v="1"/>
    <s v="United States"/>
    <x v="15"/>
    <x v="13"/>
    <x v="1"/>
    <s v="FUR-CH-10002780"/>
    <s v="Furniture"/>
    <x v="1"/>
    <s v="Office Star - Task Chair with Contemporary Loop Arms"/>
    <n v="436.70400000000001"/>
    <n v="6"/>
    <n v="21.8352"/>
    <x v="2"/>
    <x v="9"/>
  </r>
  <r>
    <s v="CA-2014-104563"/>
    <x v="600"/>
    <d v="2014-03-12T00:00:00"/>
    <x v="1"/>
    <s v="CM-12715"/>
    <s v="Craig Molinari"/>
    <x v="1"/>
    <s v="United States"/>
    <x v="15"/>
    <x v="13"/>
    <x v="1"/>
    <s v="FUR-CH-10004495"/>
    <s v="Furniture"/>
    <x v="1"/>
    <s v="Global Leather and Oak Executive Chair, Black"/>
    <n v="481.56799999999998"/>
    <n v="2"/>
    <n v="54.176400000000001"/>
    <x v="2"/>
    <x v="9"/>
  </r>
  <r>
    <s v="CA-2016-107104"/>
    <x v="675"/>
    <d v="2016-11-30T00:00:00"/>
    <x v="1"/>
    <s v="MS-17365"/>
    <s v="Maribeth Schnelling"/>
    <x v="0"/>
    <s v="United States"/>
    <x v="2"/>
    <x v="2"/>
    <x v="1"/>
    <s v="FUR-BO-10002213"/>
    <s v="Furniture"/>
    <x v="0"/>
    <s v="DMI Eclipse Executive Suite Bookcases"/>
    <n v="3406.6640000000002"/>
    <n v="8"/>
    <n v="160.31360000000001"/>
    <x v="4"/>
    <x v="0"/>
  </r>
  <r>
    <s v="CA-2016-107104"/>
    <x v="675"/>
    <d v="2016-11-30T00:00:00"/>
    <x v="1"/>
    <s v="MS-17365"/>
    <s v="Maribeth Schnelling"/>
    <x v="0"/>
    <s v="United States"/>
    <x v="2"/>
    <x v="2"/>
    <x v="1"/>
    <s v="FUR-FU-10002937"/>
    <s v="Furniture"/>
    <x v="3"/>
    <s v="GE 48&quot; Fluorescent Tube, Cool White Energy Saver, 34 Watts, 30/Box"/>
    <n v="595.38"/>
    <n v="6"/>
    <n v="297.69"/>
    <x v="4"/>
    <x v="0"/>
  </r>
  <r>
    <s v="CA-2014-156160"/>
    <x v="875"/>
    <d v="2014-09-29T00:00:00"/>
    <x v="1"/>
    <s v="AS-10090"/>
    <s v="Adam Shillingsburg"/>
    <x v="0"/>
    <s v="United States"/>
    <x v="13"/>
    <x v="7"/>
    <x v="2"/>
    <s v="FUR-FU-10001876"/>
    <s v="Furniture"/>
    <x v="3"/>
    <s v="Computer Room Manger, 14&quot;"/>
    <n v="97.44"/>
    <n v="3"/>
    <n v="35.078400000000002"/>
    <x v="1"/>
    <x v="4"/>
  </r>
  <r>
    <s v="CA-2014-156160"/>
    <x v="875"/>
    <d v="2014-09-29T00:00:00"/>
    <x v="1"/>
    <s v="AS-10090"/>
    <s v="Adam Shillingsburg"/>
    <x v="0"/>
    <s v="United States"/>
    <x v="13"/>
    <x v="7"/>
    <x v="2"/>
    <s v="FUR-CH-10004983"/>
    <s v="Furniture"/>
    <x v="1"/>
    <s v="Office Star - Mid Back Dual function Ergonomic High Back Chair with 2-Way Adjustable Arms"/>
    <n v="579.52800000000002"/>
    <n v="4"/>
    <n v="83.709599999999995"/>
    <x v="1"/>
    <x v="4"/>
  </r>
  <r>
    <s v="CA-2017-157448"/>
    <x v="716"/>
    <d v="2017-11-20T00:00:00"/>
    <x v="1"/>
    <s v="LC-16885"/>
    <s v="Lena Creighton"/>
    <x v="0"/>
    <s v="United States"/>
    <x v="2"/>
    <x v="2"/>
    <x v="1"/>
    <s v="FUR-FU-10003268"/>
    <s v="Furniture"/>
    <x v="3"/>
    <s v="Eldon Radial Chair Mat for Low to Medium Pile Carpets"/>
    <n v="119.94"/>
    <n v="3"/>
    <n v="23.988"/>
    <x v="4"/>
    <x v="0"/>
  </r>
  <r>
    <s v="CA-2017-157448"/>
    <x v="716"/>
    <d v="2017-11-20T00:00:00"/>
    <x v="1"/>
    <s v="LC-16885"/>
    <s v="Lena Creighton"/>
    <x v="0"/>
    <s v="United States"/>
    <x v="2"/>
    <x v="2"/>
    <x v="1"/>
    <s v="FUR-FU-10001847"/>
    <s v="Furniture"/>
    <x v="3"/>
    <s v="Eldon Image Series Black Desk Accessories"/>
    <n v="12.42"/>
    <n v="3"/>
    <n v="4.4711999999999996"/>
    <x v="4"/>
    <x v="0"/>
  </r>
  <r>
    <s v="CA-2016-137393"/>
    <x v="349"/>
    <d v="2016-05-10T00:00:00"/>
    <x v="1"/>
    <s v="GM-14500"/>
    <s v="Gene McClure"/>
    <x v="0"/>
    <s v="United States"/>
    <x v="175"/>
    <x v="2"/>
    <x v="1"/>
    <s v="FUR-FU-10001617"/>
    <s v="Furniture"/>
    <x v="3"/>
    <s v="Executive Impressions 8-1/2&quot; Career Panel/Partition Cubicle Clock"/>
    <n v="41.6"/>
    <n v="4"/>
    <n v="14.144"/>
    <x v="4"/>
    <x v="7"/>
  </r>
  <r>
    <s v="CA-2017-122770"/>
    <x v="838"/>
    <d v="2017-12-18T00:00:00"/>
    <x v="1"/>
    <s v="EP-13915"/>
    <s v="Emily Phan"/>
    <x v="0"/>
    <s v="United States"/>
    <x v="28"/>
    <x v="2"/>
    <x v="1"/>
    <s v="FUR-FU-10001473"/>
    <s v="Furniture"/>
    <x v="3"/>
    <s v="Eldon Executive Woodline II Desk Accessories, Mahogany"/>
    <n v="201.04"/>
    <n v="8"/>
    <n v="54.280799999999999"/>
    <x v="2"/>
    <x v="5"/>
  </r>
  <r>
    <s v="CA-2015-130183"/>
    <x v="18"/>
    <d v="2015-11-17T00:00:00"/>
    <x v="1"/>
    <s v="PO-18850"/>
    <s v="Patrick O'Brill"/>
    <x v="0"/>
    <s v="United States"/>
    <x v="6"/>
    <x v="5"/>
    <x v="3"/>
    <s v="FUR-BO-10001811"/>
    <s v="Furniture"/>
    <x v="0"/>
    <s v="Atlantic Metals Mobile 5-Shelf Bookcases, Custom Colors"/>
    <n v="613.99919999999997"/>
    <n v="3"/>
    <n v="-18.058800000000002"/>
    <x v="4"/>
    <x v="0"/>
  </r>
  <r>
    <s v="CA-2016-122511"/>
    <x v="237"/>
    <d v="2016-03-11T00:00:00"/>
    <x v="3"/>
    <s v="BT-11485"/>
    <s v="Brad Thomas"/>
    <x v="2"/>
    <s v="United States"/>
    <x v="3"/>
    <x v="3"/>
    <x v="2"/>
    <s v="FUR-FU-10001037"/>
    <s v="Furniture"/>
    <x v="3"/>
    <s v="DAX Charcoal/Nickel-Tone Document Frame, 5 x 7"/>
    <n v="30.335999999999999"/>
    <n v="4"/>
    <n v="9.48"/>
    <x v="7"/>
    <x v="9"/>
  </r>
  <r>
    <s v="CA-2016-161746"/>
    <x v="59"/>
    <d v="2016-10-27T00:00:00"/>
    <x v="1"/>
    <s v="CS-11950"/>
    <s v="Carlos Soltero"/>
    <x v="0"/>
    <s v="United States"/>
    <x v="2"/>
    <x v="2"/>
    <x v="1"/>
    <s v="FUR-CH-10004626"/>
    <s v="Furniture"/>
    <x v="1"/>
    <s v="Office Star Flex Back Scooter Chair with Aluminum Finish Frame"/>
    <n v="242.136"/>
    <n v="3"/>
    <n v="12.1068"/>
    <x v="6"/>
    <x v="1"/>
  </r>
  <r>
    <s v="CA-2016-161746"/>
    <x v="59"/>
    <d v="2016-10-27T00:00:00"/>
    <x v="1"/>
    <s v="CS-11950"/>
    <s v="Carlos Soltero"/>
    <x v="0"/>
    <s v="United States"/>
    <x v="2"/>
    <x v="2"/>
    <x v="1"/>
    <s v="FUR-FU-10003731"/>
    <s v="Furniture"/>
    <x v="3"/>
    <s v="Eldon Expressions Wood and Plastic Desk Accessories, Oak"/>
    <n v="19.96"/>
    <n v="2"/>
    <n v="5.5888"/>
    <x v="6"/>
    <x v="1"/>
  </r>
  <r>
    <s v="CA-2014-114251"/>
    <x v="726"/>
    <d v="2014-11-10T00:00:00"/>
    <x v="1"/>
    <s v="MD-17350"/>
    <s v="Maribeth Dona"/>
    <x v="0"/>
    <s v="United States"/>
    <x v="3"/>
    <x v="3"/>
    <x v="2"/>
    <s v="FUR-FU-10001468"/>
    <s v="Furniture"/>
    <x v="3"/>
    <s v="Tenex Antistatic Computer Chair Mats"/>
    <n v="273.56799999999998"/>
    <n v="2"/>
    <n v="-34.195999999999998"/>
    <x v="2"/>
    <x v="0"/>
  </r>
  <r>
    <s v="CA-2016-119641"/>
    <x v="710"/>
    <d v="2016-09-26T00:00:00"/>
    <x v="1"/>
    <s v="CS-12250"/>
    <s v="Chris Selesnick"/>
    <x v="1"/>
    <s v="United States"/>
    <x v="356"/>
    <x v="16"/>
    <x v="3"/>
    <s v="FUR-FU-10002445"/>
    <s v="Furniture"/>
    <x v="3"/>
    <s v="DAX Two-Tone Rosewood/Black Document Frame, Desktop, 5 x 7"/>
    <n v="18.96"/>
    <n v="2"/>
    <n v="7.5839999999999996"/>
    <x v="4"/>
    <x v="4"/>
  </r>
  <r>
    <s v="CA-2016-105781"/>
    <x v="285"/>
    <d v="2016-02-20T00:00:00"/>
    <x v="1"/>
    <s v="JF-15565"/>
    <s v="Jill Fjeld"/>
    <x v="0"/>
    <s v="United States"/>
    <x v="13"/>
    <x v="7"/>
    <x v="2"/>
    <s v="FUR-CH-10001802"/>
    <s v="Furniture"/>
    <x v="1"/>
    <s v="Hon Every-Day Chair Series Swivel Task Chairs"/>
    <n v="326.64600000000002"/>
    <n v="3"/>
    <n v="39.923400000000001"/>
    <x v="4"/>
    <x v="11"/>
  </r>
  <r>
    <s v="CA-2014-114321"/>
    <x v="663"/>
    <d v="2014-08-25T00:00:00"/>
    <x v="1"/>
    <s v="NC-18535"/>
    <s v="Nick Crebassa"/>
    <x v="1"/>
    <s v="United States"/>
    <x v="247"/>
    <x v="25"/>
    <x v="0"/>
    <s v="FUR-CH-10001797"/>
    <s v="Furniture"/>
    <x v="1"/>
    <s v="Safco Chair Connectors, 6/Carton"/>
    <n v="500.24"/>
    <n v="13"/>
    <n v="145.06960000000001"/>
    <x v="2"/>
    <x v="10"/>
  </r>
  <r>
    <s v="CA-2015-117086"/>
    <x v="428"/>
    <d v="2015-11-12T00:00:00"/>
    <x v="1"/>
    <s v="QJ-19255"/>
    <s v="Quincy Jones"/>
    <x v="1"/>
    <s v="United States"/>
    <x v="259"/>
    <x v="43"/>
    <x v="2"/>
    <s v="FUR-BO-10004834"/>
    <s v="Furniture"/>
    <x v="0"/>
    <s v="Riverside Palais Royal Lawyers Bookcase, Royale Cherry Finish"/>
    <n v="4404.8999999999996"/>
    <n v="5"/>
    <n v="1013.127"/>
    <x v="4"/>
    <x v="0"/>
  </r>
  <r>
    <s v="CA-2017-137505"/>
    <x v="241"/>
    <d v="2017-11-24T00:00:00"/>
    <x v="3"/>
    <s v="BP-11290"/>
    <s v="Beth Paige"/>
    <x v="0"/>
    <s v="United States"/>
    <x v="2"/>
    <x v="2"/>
    <x v="1"/>
    <s v="FUR-TA-10000617"/>
    <s v="Furniture"/>
    <x v="2"/>
    <s v="Hon Practical Foundations 30 x 60 Training Table, Light Gray/Charcoal"/>
    <n v="364.08"/>
    <n v="2"/>
    <n v="9.1020000000000003"/>
    <x v="7"/>
    <x v="0"/>
  </r>
  <r>
    <s v="CA-2017-137505"/>
    <x v="241"/>
    <d v="2017-11-24T00:00:00"/>
    <x v="3"/>
    <s v="BP-11290"/>
    <s v="Beth Paige"/>
    <x v="0"/>
    <s v="United States"/>
    <x v="2"/>
    <x v="2"/>
    <x v="1"/>
    <s v="FUR-TA-10001676"/>
    <s v="Furniture"/>
    <x v="2"/>
    <s v="Hon 61000 Series Interactive Training Tables"/>
    <n v="71.087999999999994"/>
    <n v="2"/>
    <n v="-1.7771999999999999"/>
    <x v="7"/>
    <x v="0"/>
  </r>
  <r>
    <s v="US-2014-140914"/>
    <x v="163"/>
    <d v="2014-11-15T00:00:00"/>
    <x v="1"/>
    <s v="BH-11710"/>
    <s v="Brosina Hoffman"/>
    <x v="0"/>
    <s v="United States"/>
    <x v="9"/>
    <x v="8"/>
    <x v="3"/>
    <s v="FUR-FU-10000175"/>
    <s v="Furniture"/>
    <x v="3"/>
    <s v="DAX Wood Document Frame."/>
    <n v="10.984"/>
    <n v="2"/>
    <n v="-7.9634"/>
    <x v="4"/>
    <x v="0"/>
  </r>
  <r>
    <s v="US-2014-140914"/>
    <x v="163"/>
    <d v="2014-11-15T00:00:00"/>
    <x v="1"/>
    <s v="BH-11710"/>
    <s v="Brosina Hoffman"/>
    <x v="0"/>
    <s v="United States"/>
    <x v="9"/>
    <x v="8"/>
    <x v="3"/>
    <s v="FUR-CH-10003379"/>
    <s v="Furniture"/>
    <x v="1"/>
    <s v="Global Commerce Series High-Back Swivel/Tilt Chairs"/>
    <n v="797.94399999999996"/>
    <n v="4"/>
    <n v="-56.996000000000002"/>
    <x v="4"/>
    <x v="0"/>
  </r>
  <r>
    <s v="CA-2017-113705"/>
    <x v="582"/>
    <d v="2017-03-29T00:00:00"/>
    <x v="0"/>
    <s v="LC-16870"/>
    <s v="Lena Cacioppo"/>
    <x v="0"/>
    <s v="United States"/>
    <x v="52"/>
    <x v="25"/>
    <x v="0"/>
    <s v="FUR-TA-10002533"/>
    <s v="Furniture"/>
    <x v="2"/>
    <s v="BPI Conference Tables"/>
    <n v="292.10000000000002"/>
    <n v="2"/>
    <n v="58.42"/>
    <x v="3"/>
    <x v="9"/>
  </r>
  <r>
    <s v="CA-2016-146913"/>
    <x v="359"/>
    <d v="2016-11-05T00:00:00"/>
    <x v="1"/>
    <s v="SF-20965"/>
    <s v="Sylvia Foulston"/>
    <x v="1"/>
    <s v="United States"/>
    <x v="28"/>
    <x v="2"/>
    <x v="1"/>
    <s v="FUR-CH-10001854"/>
    <s v="Furniture"/>
    <x v="1"/>
    <s v="Office Star - Professional Matrix Back Chair with 2-to-1 Synchro Tilt and Mesh Fabric Seat"/>
    <n v="1403.92"/>
    <n v="5"/>
    <n v="70.195999999999998"/>
    <x v="2"/>
    <x v="1"/>
  </r>
  <r>
    <s v="CA-2016-123533"/>
    <x v="243"/>
    <d v="2016-11-30T00:00:00"/>
    <x v="1"/>
    <s v="SC-20050"/>
    <s v="Sample Company A"/>
    <x v="2"/>
    <s v="United States"/>
    <x v="173"/>
    <x v="1"/>
    <x v="0"/>
    <s v="FUR-BO-10001619"/>
    <s v="Furniture"/>
    <x v="0"/>
    <s v="O'Sullivan Cherrywood Estates Traditional Bookcase"/>
    <n v="339.92"/>
    <n v="5"/>
    <n v="8.4979999999999993"/>
    <x v="6"/>
    <x v="0"/>
  </r>
  <r>
    <s v="CA-2014-169019"/>
    <x v="503"/>
    <d v="2014-07-30T00:00:00"/>
    <x v="1"/>
    <s v="LF-17185"/>
    <s v="Luke Foster"/>
    <x v="0"/>
    <s v="United States"/>
    <x v="21"/>
    <x v="5"/>
    <x v="3"/>
    <s v="FUR-FU-10004666"/>
    <s v="Furniture"/>
    <x v="3"/>
    <s v="DAX Clear Channel Poster Frame"/>
    <n v="17.495999999999999"/>
    <n v="3"/>
    <n v="-10.0602"/>
    <x v="4"/>
    <x v="3"/>
  </r>
  <r>
    <s v="CA-2015-149748"/>
    <x v="151"/>
    <d v="2015-06-02T00:00:00"/>
    <x v="0"/>
    <s v="EM-13825"/>
    <s v="Elizabeth Moffitt"/>
    <x v="1"/>
    <s v="United States"/>
    <x v="309"/>
    <x v="18"/>
    <x v="2"/>
    <s v="FUR-FU-10001847"/>
    <s v="Furniture"/>
    <x v="3"/>
    <s v="Eldon Image Series Black Desk Accessories"/>
    <n v="8.2799999999999994"/>
    <n v="2"/>
    <n v="2.9807999999999999"/>
    <x v="3"/>
    <x v="7"/>
  </r>
  <r>
    <s v="US-2014-114377"/>
    <x v="726"/>
    <d v="2014-11-05T00:00:00"/>
    <x v="3"/>
    <s v="BG-11035"/>
    <s v="Barry Gonzalez"/>
    <x v="0"/>
    <s v="United States"/>
    <x v="247"/>
    <x v="25"/>
    <x v="0"/>
    <s v="FUR-CH-10004754"/>
    <s v="Furniture"/>
    <x v="1"/>
    <s v="Global Stack Chair with Arms, Black"/>
    <n v="149.9"/>
    <n v="5"/>
    <n v="40.472999999999999"/>
    <x v="7"/>
    <x v="0"/>
  </r>
  <r>
    <s v="CA-2017-144491"/>
    <x v="582"/>
    <d v="2017-04-01T00:00:00"/>
    <x v="1"/>
    <s v="CJ-12010"/>
    <s v="Caroline Jumper"/>
    <x v="0"/>
    <s v="United States"/>
    <x v="6"/>
    <x v="5"/>
    <x v="3"/>
    <s v="FUR-BO-10001811"/>
    <s v="Furniture"/>
    <x v="0"/>
    <s v="Atlantic Metals Mobile 5-Shelf Bookcases, Custom Colors"/>
    <n v="1023.332"/>
    <n v="5"/>
    <n v="-30.097999999999999"/>
    <x v="2"/>
    <x v="9"/>
  </r>
  <r>
    <s v="CA-2017-144491"/>
    <x v="582"/>
    <d v="2017-04-01T00:00:00"/>
    <x v="1"/>
    <s v="CJ-12010"/>
    <s v="Caroline Jumper"/>
    <x v="0"/>
    <s v="United States"/>
    <x v="6"/>
    <x v="5"/>
    <x v="3"/>
    <s v="FUR-CH-10004063"/>
    <s v="Furniture"/>
    <x v="1"/>
    <s v="Global Deluxe High-Back Manager's Chair"/>
    <n v="600.55799999999999"/>
    <n v="3"/>
    <n v="-8.5793999999999997"/>
    <x v="2"/>
    <x v="9"/>
  </r>
  <r>
    <s v="CA-2017-144491"/>
    <x v="582"/>
    <d v="2017-04-01T00:00:00"/>
    <x v="1"/>
    <s v="CJ-12010"/>
    <s v="Caroline Jumper"/>
    <x v="0"/>
    <s v="United States"/>
    <x v="6"/>
    <x v="5"/>
    <x v="3"/>
    <s v="FUR-CH-10001714"/>
    <s v="Furniture"/>
    <x v="1"/>
    <s v="Global Leather &amp; Oak Executive Chair, Burgundy"/>
    <n v="211.24600000000001"/>
    <n v="2"/>
    <n v="-66.391599999999997"/>
    <x v="2"/>
    <x v="9"/>
  </r>
  <r>
    <s v="CA-2014-127166"/>
    <x v="876"/>
    <d v="2014-05-23T00:00:00"/>
    <x v="0"/>
    <s v="KH-16360"/>
    <s v="Katherine Hughes"/>
    <x v="0"/>
    <s v="United States"/>
    <x v="6"/>
    <x v="5"/>
    <x v="3"/>
    <s v="FUR-CH-10003396"/>
    <s v="Furniture"/>
    <x v="1"/>
    <s v="Global Deluxe Steno Chair"/>
    <n v="107.77200000000001"/>
    <n v="2"/>
    <n v="-29.252400000000002"/>
    <x v="3"/>
    <x v="7"/>
  </r>
  <r>
    <s v="CA-2015-122973"/>
    <x v="877"/>
    <d v="2015-07-20T00:00:00"/>
    <x v="0"/>
    <s v="PJ-19015"/>
    <s v="Pauline Johnson"/>
    <x v="0"/>
    <s v="United States"/>
    <x v="13"/>
    <x v="7"/>
    <x v="2"/>
    <s v="FUR-FU-10002364"/>
    <s v="Furniture"/>
    <x v="3"/>
    <s v="Eldon Expressions Wood Desk Accessories, Oak"/>
    <n v="7.38"/>
    <n v="1"/>
    <n v="2.1402000000000001"/>
    <x v="3"/>
    <x v="3"/>
  </r>
  <r>
    <s v="CA-2016-136322"/>
    <x v="59"/>
    <d v="2016-10-26T00:00:00"/>
    <x v="1"/>
    <s v="AP-10720"/>
    <s v="Anne Pryor"/>
    <x v="2"/>
    <s v="United States"/>
    <x v="1"/>
    <x v="1"/>
    <x v="0"/>
    <s v="FUR-FU-10002878"/>
    <s v="Furniture"/>
    <x v="3"/>
    <s v="Seth Thomas 14&quot; Day/Date Wall Clock"/>
    <n v="45.567999999999998"/>
    <n v="2"/>
    <n v="9.6831999999999994"/>
    <x v="2"/>
    <x v="1"/>
  </r>
  <r>
    <s v="CA-2017-107209"/>
    <x v="534"/>
    <d v="2017-08-01T00:00:00"/>
    <x v="0"/>
    <s v="JW-15955"/>
    <s v="Joni Wasserman"/>
    <x v="0"/>
    <s v="United States"/>
    <x v="168"/>
    <x v="30"/>
    <x v="0"/>
    <s v="FUR-CH-10001146"/>
    <s v="Furniture"/>
    <x v="1"/>
    <s v="Global Value Mid-Back Manager's Chair, Gray"/>
    <n v="194.84800000000001"/>
    <n v="4"/>
    <n v="12.178000000000001"/>
    <x v="2"/>
    <x v="3"/>
  </r>
  <r>
    <s v="CA-2015-162201"/>
    <x v="878"/>
    <d v="2015-06-12T00:00:00"/>
    <x v="1"/>
    <s v="AG-10495"/>
    <s v="Andrew Gjertsen"/>
    <x v="1"/>
    <s v="United States"/>
    <x v="66"/>
    <x v="1"/>
    <x v="0"/>
    <s v="FUR-FU-10001185"/>
    <s v="Furniture"/>
    <x v="3"/>
    <s v="Advantus Employee of the Month Certificate Frame, 11 x 13-1/2"/>
    <n v="173.208"/>
    <n v="7"/>
    <n v="45.467100000000002"/>
    <x v="4"/>
    <x v="2"/>
  </r>
  <r>
    <s v="US-2014-164406"/>
    <x v="879"/>
    <d v="2014-08-19T00:00:00"/>
    <x v="1"/>
    <s v="BD-11605"/>
    <s v="Brian Dahlen"/>
    <x v="0"/>
    <s v="United States"/>
    <x v="28"/>
    <x v="2"/>
    <x v="1"/>
    <s v="FUR-CH-10003833"/>
    <s v="Furniture"/>
    <x v="1"/>
    <s v="Novimex Fabric Task Chair"/>
    <n v="195.136"/>
    <n v="4"/>
    <n v="-12.196"/>
    <x v="4"/>
    <x v="10"/>
  </r>
  <r>
    <s v="US-2017-152842"/>
    <x v="3"/>
    <d v="2017-07-23T00:00:00"/>
    <x v="1"/>
    <s v="NF-18385"/>
    <s v="Natalie Fritzler"/>
    <x v="0"/>
    <s v="United States"/>
    <x v="127"/>
    <x v="30"/>
    <x v="0"/>
    <s v="FUR-CH-10004218"/>
    <s v="Furniture"/>
    <x v="1"/>
    <s v="Global Fabric Manager's Chair, Dark Gray"/>
    <n v="242.352"/>
    <n v="3"/>
    <n v="15.147"/>
    <x v="1"/>
    <x v="3"/>
  </r>
  <r>
    <s v="CA-2014-113257"/>
    <x v="439"/>
    <d v="2014-12-18T00:00:00"/>
    <x v="0"/>
    <s v="SC-20305"/>
    <s v="Sean Christensen"/>
    <x v="0"/>
    <s v="United States"/>
    <x v="365"/>
    <x v="5"/>
    <x v="3"/>
    <s v="FUR-FU-10001706"/>
    <s v="Furniture"/>
    <x v="3"/>
    <s v="Longer-Life Soft White Bulbs"/>
    <n v="8.6240000000000006"/>
    <n v="7"/>
    <n v="-2.5872000000000002"/>
    <x v="3"/>
    <x v="5"/>
  </r>
  <r>
    <s v="CA-2016-126627"/>
    <x v="792"/>
    <d v="2016-10-12T00:00:00"/>
    <x v="2"/>
    <s v="WB-21850"/>
    <s v="William Brown"/>
    <x v="0"/>
    <s v="United States"/>
    <x v="101"/>
    <x v="5"/>
    <x v="3"/>
    <s v="FUR-FU-10004963"/>
    <s v="Furniture"/>
    <x v="3"/>
    <s v="Eldon 400 Class Desk Accessories, Black Carbon"/>
    <n v="14"/>
    <n v="4"/>
    <n v="-6.3"/>
    <x v="3"/>
    <x v="1"/>
  </r>
  <r>
    <s v="US-2016-125402"/>
    <x v="228"/>
    <d v="2016-10-01T00:00:00"/>
    <x v="1"/>
    <s v="DL-12865"/>
    <s v="Dan Lawera"/>
    <x v="0"/>
    <s v="United States"/>
    <x v="62"/>
    <x v="2"/>
    <x v="1"/>
    <s v="FUR-CH-10000665"/>
    <s v="Furniture"/>
    <x v="1"/>
    <s v="Global Airflow Leather Mesh Back Chair, Black"/>
    <n v="483.13600000000002"/>
    <n v="4"/>
    <n v="60.392000000000003"/>
    <x v="6"/>
    <x v="4"/>
  </r>
  <r>
    <s v="CA-2014-163867"/>
    <x v="270"/>
    <d v="2014-06-06T00:00:00"/>
    <x v="2"/>
    <s v="RE-19450"/>
    <s v="Richard Eichhorn"/>
    <x v="0"/>
    <s v="United States"/>
    <x v="42"/>
    <x v="8"/>
    <x v="3"/>
    <s v="FUR-FU-10001475"/>
    <s v="Furniture"/>
    <x v="3"/>
    <s v="Contract Clock, 14&quot;, Brown"/>
    <n v="61.543999999999997"/>
    <n v="7"/>
    <n v="-40.003599999999999"/>
    <x v="0"/>
    <x v="2"/>
  </r>
  <r>
    <s v="CA-2017-169327"/>
    <x v="113"/>
    <d v="2017-09-04T00:00:00"/>
    <x v="0"/>
    <s v="MH-17290"/>
    <s v="Marc Harrigan"/>
    <x v="2"/>
    <s v="United States"/>
    <x v="2"/>
    <x v="2"/>
    <x v="1"/>
    <s v="FUR-FU-10004188"/>
    <s v="Furniture"/>
    <x v="3"/>
    <s v="Luxo Professional Combination Clamp-On Lamps"/>
    <n v="511.5"/>
    <n v="5"/>
    <n v="132.99"/>
    <x v="3"/>
    <x v="4"/>
  </r>
  <r>
    <s v="CA-2016-158155"/>
    <x v="630"/>
    <d v="2016-05-06T00:00:00"/>
    <x v="1"/>
    <s v="EH-13765"/>
    <s v="Edward Hooks"/>
    <x v="1"/>
    <s v="United States"/>
    <x v="13"/>
    <x v="7"/>
    <x v="2"/>
    <s v="FUR-FU-10000732"/>
    <s v="Furniture"/>
    <x v="3"/>
    <s v="Eldon 200 Class Desk Accessories"/>
    <n v="12.56"/>
    <n v="2"/>
    <n v="4.0191999999999997"/>
    <x v="4"/>
    <x v="7"/>
  </r>
  <r>
    <s v="CA-2016-158155"/>
    <x v="630"/>
    <d v="2016-05-06T00:00:00"/>
    <x v="1"/>
    <s v="EH-13765"/>
    <s v="Edward Hooks"/>
    <x v="1"/>
    <s v="United States"/>
    <x v="13"/>
    <x v="7"/>
    <x v="2"/>
    <s v="FUR-FU-10002253"/>
    <s v="Furniture"/>
    <x v="3"/>
    <s v="Howard Miller 13&quot; Diameter Pewter Finish Round Wall Clock"/>
    <n v="214.7"/>
    <n v="5"/>
    <n v="83.733000000000004"/>
    <x v="4"/>
    <x v="7"/>
  </r>
  <r>
    <s v="CA-2017-138870"/>
    <x v="744"/>
    <d v="2017-06-23T00:00:00"/>
    <x v="1"/>
    <s v="GA-14515"/>
    <s v="George Ashbrook"/>
    <x v="0"/>
    <s v="United States"/>
    <x v="28"/>
    <x v="2"/>
    <x v="1"/>
    <s v="FUR-FU-10002396"/>
    <s v="Furniture"/>
    <x v="3"/>
    <s v="DAX Copper Panel Document Frame, 5 x 7 Size"/>
    <n v="50.32"/>
    <n v="4"/>
    <n v="21.134399999999999"/>
    <x v="4"/>
    <x v="2"/>
  </r>
  <r>
    <s v="CA-2015-164301"/>
    <x v="880"/>
    <d v="2015-03-30T00:00:00"/>
    <x v="1"/>
    <s v="EB-13840"/>
    <s v="Ellis Ballard"/>
    <x v="1"/>
    <s v="United States"/>
    <x v="15"/>
    <x v="13"/>
    <x v="1"/>
    <s v="FUR-TA-10001889"/>
    <s v="Furniture"/>
    <x v="2"/>
    <s v="Bush Advantage Collection Racetrack Conference Table"/>
    <n v="3393.68"/>
    <n v="8"/>
    <n v="610.86239999999998"/>
    <x v="4"/>
    <x v="9"/>
  </r>
  <r>
    <s v="CA-2017-113278"/>
    <x v="881"/>
    <d v="2017-01-20T00:00:00"/>
    <x v="1"/>
    <s v="HR-14770"/>
    <s v="Hallie Redmond"/>
    <x v="2"/>
    <s v="United States"/>
    <x v="52"/>
    <x v="6"/>
    <x v="3"/>
    <s v="FUR-FU-10001037"/>
    <s v="Furniture"/>
    <x v="3"/>
    <s v="DAX Charcoal/Nickel-Tone Document Frame, 5 x 7"/>
    <n v="18.96"/>
    <n v="2"/>
    <n v="8.532"/>
    <x v="6"/>
    <x v="8"/>
  </r>
  <r>
    <s v="CA-2014-114195"/>
    <x v="770"/>
    <d v="2014-11-03T00:00:00"/>
    <x v="2"/>
    <s v="EA-14035"/>
    <s v="Erin Ashbrook"/>
    <x v="1"/>
    <s v="United States"/>
    <x v="366"/>
    <x v="15"/>
    <x v="2"/>
    <s v="FUR-FU-10002253"/>
    <s v="Furniture"/>
    <x v="3"/>
    <s v="Howard Miller 13&quot; Diameter Pewter Finish Round Wall Clock"/>
    <n v="68.703999999999994"/>
    <n v="2"/>
    <n v="16.3172"/>
    <x v="3"/>
    <x v="0"/>
  </r>
  <r>
    <s v="CA-2016-122581"/>
    <x v="650"/>
    <d v="2016-08-25T00:00:00"/>
    <x v="1"/>
    <s v="JK-15370"/>
    <s v="Jay Kimmel"/>
    <x v="0"/>
    <s v="United States"/>
    <x v="13"/>
    <x v="7"/>
    <x v="2"/>
    <s v="FUR-CH-10002961"/>
    <s v="Furniture"/>
    <x v="1"/>
    <s v="Leather Task Chair, Black"/>
    <n v="573.17399999999998"/>
    <n v="7"/>
    <n v="63.686"/>
    <x v="4"/>
    <x v="10"/>
  </r>
  <r>
    <s v="US-2016-115441"/>
    <x v="81"/>
    <d v="2016-07-28T00:00:00"/>
    <x v="0"/>
    <s v="SH-19975"/>
    <s v="Sally Hughsby"/>
    <x v="1"/>
    <s v="United States"/>
    <x v="79"/>
    <x v="16"/>
    <x v="3"/>
    <s v="FUR-CH-10004626"/>
    <s v="Furniture"/>
    <x v="1"/>
    <s v="Office Star Flex Back Scooter Chair with Aluminum Finish Frame"/>
    <n v="403.56"/>
    <n v="4"/>
    <n v="96.854399999999998"/>
    <x v="0"/>
    <x v="3"/>
  </r>
  <r>
    <s v="US-2016-115441"/>
    <x v="81"/>
    <d v="2016-07-28T00:00:00"/>
    <x v="0"/>
    <s v="SH-19975"/>
    <s v="Sally Hughsby"/>
    <x v="1"/>
    <s v="United States"/>
    <x v="79"/>
    <x v="16"/>
    <x v="3"/>
    <s v="FUR-FU-10001756"/>
    <s v="Furniture"/>
    <x v="3"/>
    <s v="Eldon Expressions Desk Accessory, Wood Photo Frame, Mahogany"/>
    <n v="95.2"/>
    <n v="5"/>
    <n v="27.608000000000001"/>
    <x v="0"/>
    <x v="3"/>
  </r>
  <r>
    <s v="CA-2016-112830"/>
    <x v="882"/>
    <d v="2016-06-10T00:00:00"/>
    <x v="1"/>
    <s v="LP-17095"/>
    <s v="Liz Preis"/>
    <x v="0"/>
    <s v="United States"/>
    <x v="130"/>
    <x v="15"/>
    <x v="2"/>
    <s v="FUR-FU-10004306"/>
    <s v="Furniture"/>
    <x v="3"/>
    <s v="Electrix Halogen Magnifier Lamp"/>
    <n v="466.32"/>
    <n v="3"/>
    <n v="34.973999999999997"/>
    <x v="4"/>
    <x v="2"/>
  </r>
  <r>
    <s v="CA-2016-112830"/>
    <x v="882"/>
    <d v="2016-06-10T00:00:00"/>
    <x v="1"/>
    <s v="LP-17095"/>
    <s v="Liz Preis"/>
    <x v="0"/>
    <s v="United States"/>
    <x v="130"/>
    <x v="15"/>
    <x v="2"/>
    <s v="FUR-FU-10004845"/>
    <s v="Furniture"/>
    <x v="3"/>
    <s v="Deflect-o EconoMat Nonstudded, No Bevel Mat"/>
    <n v="82.64"/>
    <n v="2"/>
    <n v="0"/>
    <x v="4"/>
    <x v="2"/>
  </r>
  <r>
    <s v="US-2014-117380"/>
    <x v="786"/>
    <d v="2014-04-03T00:00:00"/>
    <x v="1"/>
    <s v="MP-18175"/>
    <s v="Mike Pelletier"/>
    <x v="2"/>
    <s v="United States"/>
    <x v="76"/>
    <x v="15"/>
    <x v="2"/>
    <s v="FUR-TA-10000198"/>
    <s v="Furniture"/>
    <x v="2"/>
    <s v="Chromcraft Bull-Nose Wood Oval Conference Tables &amp; Bases"/>
    <n v="330.58800000000002"/>
    <n v="1"/>
    <n v="-143.25479999999999"/>
    <x v="6"/>
    <x v="9"/>
  </r>
  <r>
    <s v="CA-2017-117646"/>
    <x v="67"/>
    <d v="2017-08-25T00:00:00"/>
    <x v="1"/>
    <s v="SC-20845"/>
    <s v="Sung Chung"/>
    <x v="0"/>
    <s v="United States"/>
    <x v="74"/>
    <x v="12"/>
    <x v="1"/>
    <s v="FUR-FU-10001037"/>
    <s v="Furniture"/>
    <x v="3"/>
    <s v="DAX Charcoal/Nickel-Tone Document Frame, 5 x 7"/>
    <n v="22.751999999999999"/>
    <n v="3"/>
    <n v="7.11"/>
    <x v="4"/>
    <x v="10"/>
  </r>
  <r>
    <s v="CA-2014-122609"/>
    <x v="352"/>
    <d v="2014-11-18T00:00:00"/>
    <x v="1"/>
    <s v="DP-13000"/>
    <s v="Darren Powers"/>
    <x v="0"/>
    <s v="United States"/>
    <x v="118"/>
    <x v="5"/>
    <x v="3"/>
    <s v="FUR-FU-10004587"/>
    <s v="Furniture"/>
    <x v="3"/>
    <s v="GE General Use Halogen Bulbs, 100 Watts, 1 Bulb per Pack"/>
    <n v="25.128"/>
    <n v="3"/>
    <n v="-6.9101999999999997"/>
    <x v="6"/>
    <x v="0"/>
  </r>
  <r>
    <s v="US-2015-129007"/>
    <x v="615"/>
    <d v="2015-09-15T00:00:00"/>
    <x v="2"/>
    <s v="KD-16615"/>
    <s v="Ken Dana"/>
    <x v="1"/>
    <s v="United States"/>
    <x v="261"/>
    <x v="2"/>
    <x v="1"/>
    <s v="FUR-FU-10004973"/>
    <s v="Furniture"/>
    <x v="3"/>
    <s v="Flat Face Poster Frame"/>
    <n v="131.88"/>
    <n v="7"/>
    <n v="55.389600000000002"/>
    <x v="3"/>
    <x v="4"/>
  </r>
  <r>
    <s v="US-2015-129007"/>
    <x v="615"/>
    <d v="2015-09-15T00:00:00"/>
    <x v="2"/>
    <s v="KD-16615"/>
    <s v="Ken Dana"/>
    <x v="1"/>
    <s v="United States"/>
    <x v="261"/>
    <x v="2"/>
    <x v="1"/>
    <s v="FUR-CH-10000155"/>
    <s v="Furniture"/>
    <x v="1"/>
    <s v="Global Comet Stacking Armless Chair"/>
    <n v="717.72"/>
    <n v="3"/>
    <n v="71.772000000000006"/>
    <x v="3"/>
    <x v="4"/>
  </r>
  <r>
    <s v="US-2015-129007"/>
    <x v="615"/>
    <d v="2015-09-15T00:00:00"/>
    <x v="2"/>
    <s v="KD-16615"/>
    <s v="Ken Dana"/>
    <x v="1"/>
    <s v="United States"/>
    <x v="261"/>
    <x v="2"/>
    <x v="1"/>
    <s v="FUR-FU-10002379"/>
    <s v="Furniture"/>
    <x v="3"/>
    <s v="Eldon Econocleat Chair Mats for Low Pile Carpets"/>
    <n v="207.35"/>
    <n v="5"/>
    <n v="24.882000000000001"/>
    <x v="3"/>
    <x v="4"/>
  </r>
  <r>
    <s v="US-2015-129007"/>
    <x v="615"/>
    <d v="2015-09-15T00:00:00"/>
    <x v="2"/>
    <s v="KD-16615"/>
    <s v="Ken Dana"/>
    <x v="1"/>
    <s v="United States"/>
    <x v="261"/>
    <x v="2"/>
    <x v="1"/>
    <s v="FUR-FU-10004018"/>
    <s v="Furniture"/>
    <x v="3"/>
    <s v="Tensor Computer Mounted Lamp"/>
    <n v="44.67"/>
    <n v="3"/>
    <n v="12.0609"/>
    <x v="3"/>
    <x v="4"/>
  </r>
  <r>
    <s v="CA-2015-132388"/>
    <x v="883"/>
    <d v="2015-10-12T00:00:00"/>
    <x v="2"/>
    <s v="KN-16390"/>
    <s v="Katherine Nockton"/>
    <x v="1"/>
    <s v="United States"/>
    <x v="367"/>
    <x v="2"/>
    <x v="1"/>
    <s v="FUR-CH-10001714"/>
    <s v="Furniture"/>
    <x v="1"/>
    <s v="Global Leather &amp; Oak Executive Chair, Burgundy"/>
    <n v="362.13600000000002"/>
    <n v="3"/>
    <n v="-54.320399999999999"/>
    <x v="3"/>
    <x v="1"/>
  </r>
  <r>
    <s v="CA-2017-160927"/>
    <x v="884"/>
    <d v="2017-01-31T00:00:00"/>
    <x v="0"/>
    <s v="TM-21010"/>
    <s v="Tamara Manning"/>
    <x v="0"/>
    <s v="United States"/>
    <x v="149"/>
    <x v="26"/>
    <x v="3"/>
    <s v="FUR-FU-10000010"/>
    <s v="Furniture"/>
    <x v="3"/>
    <s v="DAX Value U-Channel Document Frames, Easel Back"/>
    <n v="14.91"/>
    <n v="3"/>
    <n v="4.6220999999999997"/>
    <x v="3"/>
    <x v="8"/>
  </r>
  <r>
    <s v="CA-2016-149272"/>
    <x v="775"/>
    <d v="2016-03-19T00:00:00"/>
    <x v="1"/>
    <s v="MY-18295"/>
    <s v="Muhammed Yedwab"/>
    <x v="1"/>
    <s v="United States"/>
    <x v="368"/>
    <x v="5"/>
    <x v="3"/>
    <s v="FUR-CH-10000863"/>
    <s v="Furniture"/>
    <x v="1"/>
    <s v="Novimex Swivel Fabric Task Chair"/>
    <n v="528.42999999999995"/>
    <n v="5"/>
    <n v="-143.43100000000001"/>
    <x v="4"/>
    <x v="9"/>
  </r>
  <r>
    <s v="CA-2016-129630"/>
    <x v="631"/>
    <d v="2016-09-04T00:00:00"/>
    <x v="3"/>
    <s v="IM-15055"/>
    <s v="Ionia McGrath"/>
    <x v="0"/>
    <s v="United States"/>
    <x v="28"/>
    <x v="2"/>
    <x v="1"/>
    <s v="FUR-FU-10000260"/>
    <s v="Furniture"/>
    <x v="3"/>
    <s v="6&quot; Cubicle Wall Clock, Black"/>
    <n v="24.27"/>
    <n v="3"/>
    <n v="8.7371999999999996"/>
    <x v="7"/>
    <x v="4"/>
  </r>
  <r>
    <s v="CA-2015-104948"/>
    <x v="18"/>
    <d v="2015-11-17T00:00:00"/>
    <x v="1"/>
    <s v="KH-16510"/>
    <s v="Keith Herrera"/>
    <x v="0"/>
    <s v="United States"/>
    <x v="369"/>
    <x v="2"/>
    <x v="1"/>
    <s v="FUR-BO-10004357"/>
    <s v="Furniture"/>
    <x v="0"/>
    <s v="O'Sullivan Living Dimensions 3-Shelf Bookcases"/>
    <n v="683.33199999999999"/>
    <n v="4"/>
    <n v="-40.195999999999998"/>
    <x v="4"/>
    <x v="0"/>
  </r>
  <r>
    <s v="CA-2016-164889"/>
    <x v="885"/>
    <d v="2016-06-06T00:00:00"/>
    <x v="0"/>
    <s v="CP-12340"/>
    <s v="Christine Phan"/>
    <x v="1"/>
    <s v="United States"/>
    <x v="2"/>
    <x v="2"/>
    <x v="1"/>
    <s v="FUR-TA-10001676"/>
    <s v="Furniture"/>
    <x v="2"/>
    <s v="Hon 61000 Series Interactive Training Tables"/>
    <n v="71.087999999999994"/>
    <n v="2"/>
    <n v="-1.7771999999999999"/>
    <x v="0"/>
    <x v="2"/>
  </r>
  <r>
    <s v="CA-2016-169824"/>
    <x v="574"/>
    <d v="2016-12-17T00:00:00"/>
    <x v="1"/>
    <s v="NS-18640"/>
    <s v="Noel Staavos"/>
    <x v="1"/>
    <s v="United States"/>
    <x v="13"/>
    <x v="7"/>
    <x v="2"/>
    <s v="FUR-FU-10004864"/>
    <s v="Furniture"/>
    <x v="3"/>
    <s v="Eldon 500 Class Desk Accessories"/>
    <n v="60.35"/>
    <n v="5"/>
    <n v="19.915500000000002"/>
    <x v="2"/>
    <x v="5"/>
  </r>
  <r>
    <s v="CA-2017-121559"/>
    <x v="886"/>
    <d v="2017-06-03T00:00:00"/>
    <x v="0"/>
    <s v="HW-14935"/>
    <s v="Helen Wasserman"/>
    <x v="1"/>
    <s v="United States"/>
    <x v="370"/>
    <x v="6"/>
    <x v="3"/>
    <s v="FUR-CH-10003746"/>
    <s v="Furniture"/>
    <x v="1"/>
    <s v="Hon 4070 Series Pagoda Round Back Stacking Chairs"/>
    <n v="1925.88"/>
    <n v="6"/>
    <n v="539.24639999999999"/>
    <x v="3"/>
    <x v="2"/>
  </r>
  <r>
    <s v="CA-2015-141593"/>
    <x v="646"/>
    <d v="2015-12-16T00:00:00"/>
    <x v="0"/>
    <s v="DB-12970"/>
    <s v="Darren Budd"/>
    <x v="1"/>
    <s v="United States"/>
    <x v="2"/>
    <x v="2"/>
    <x v="1"/>
    <s v="FUR-TA-10002622"/>
    <s v="Furniture"/>
    <x v="2"/>
    <s v="Bush Andora Conference Table, Maple/Graphite Gray Finish"/>
    <n v="273.56799999999998"/>
    <n v="2"/>
    <n v="10.258800000000001"/>
    <x v="3"/>
    <x v="5"/>
  </r>
  <r>
    <s v="CA-2015-168088"/>
    <x v="887"/>
    <d v="2015-03-22T00:00:00"/>
    <x v="2"/>
    <s v="CM-12655"/>
    <s v="Corinna Mitchell"/>
    <x v="2"/>
    <s v="United States"/>
    <x v="6"/>
    <x v="5"/>
    <x v="3"/>
    <s v="FUR-BO-10004218"/>
    <s v="Furniture"/>
    <x v="0"/>
    <s v="Bush Heritage Pine Collection 5-Shelf Bookcase, Albany Pine Finish, *Special Order"/>
    <n v="383.46559999999999"/>
    <n v="4"/>
    <n v="-67.670400000000001"/>
    <x v="0"/>
    <x v="9"/>
  </r>
  <r>
    <s v="CA-2016-146374"/>
    <x v="28"/>
    <d v="2016-12-10T00:00:00"/>
    <x v="0"/>
    <s v="HE-14800"/>
    <s v="Harold Engle"/>
    <x v="1"/>
    <s v="United States"/>
    <x v="19"/>
    <x v="14"/>
    <x v="2"/>
    <s v="FUR-FU-10002671"/>
    <s v="Furniture"/>
    <x v="3"/>
    <s v="Electrix 20W Halogen Replacement Bulb for Zoom-In Desk Lamp"/>
    <n v="13.4"/>
    <n v="1"/>
    <n v="6.4320000000000004"/>
    <x v="2"/>
    <x v="5"/>
  </r>
  <r>
    <s v="US-2015-151435"/>
    <x v="329"/>
    <d v="2015-09-09T00:00:00"/>
    <x v="0"/>
    <s v="SW-20455"/>
    <s v="Shaun Weien"/>
    <x v="0"/>
    <s v="United States"/>
    <x v="120"/>
    <x v="35"/>
    <x v="0"/>
    <s v="FUR-TA-10001039"/>
    <s v="Furniture"/>
    <x v="2"/>
    <s v="KI Adjustable-Height Table"/>
    <n v="85.98"/>
    <n v="1"/>
    <n v="22.354800000000001"/>
    <x v="0"/>
    <x v="4"/>
  </r>
  <r>
    <s v="CA-2014-110422"/>
    <x v="888"/>
    <d v="2014-01-23T00:00:00"/>
    <x v="0"/>
    <s v="TB-21400"/>
    <s v="Tom Boeckenhauer"/>
    <x v="0"/>
    <s v="United States"/>
    <x v="89"/>
    <x v="1"/>
    <x v="0"/>
    <s v="FUR-FU-10001889"/>
    <s v="Furniture"/>
    <x v="3"/>
    <s v="Ultra Door Pull Handle"/>
    <n v="25.248000000000001"/>
    <n v="3"/>
    <n v="4.1028000000000002"/>
    <x v="3"/>
    <x v="8"/>
  </r>
  <r>
    <s v="CA-2017-121258"/>
    <x v="194"/>
    <d v="2017-03-03T00:00:00"/>
    <x v="1"/>
    <s v="DB-13060"/>
    <s v="Dave Brooks"/>
    <x v="0"/>
    <s v="United States"/>
    <x v="46"/>
    <x v="2"/>
    <x v="1"/>
    <s v="FUR-FU-10000747"/>
    <s v="Furniture"/>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206AA-2C18-46CB-815C-049B349DA245}"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0:H45"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Col" baseField="0" baseItem="0" numFmtId="9"/>
  </dataFields>
  <formats count="2">
    <format dxfId="9">
      <pivotArea outline="0" fieldPosition="0">
        <references count="1">
          <reference field="4294967294" count="1">
            <x v="0"/>
          </reference>
        </references>
      </pivotArea>
    </format>
    <format dxfId="8">
      <pivotArea outline="0" collapsedLevelsAreSubtotals="1" fieldPosition="0"/>
    </format>
  </format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865A3-ED6D-4E59-ABAE-E68051E5F056}"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2"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58DC5-4EFB-436F-A44F-87DA638C628B}"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7:H36"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Col" baseField="0" baseItem="0" numFmtId="9"/>
  </dataFields>
  <formats count="2">
    <format dxfId="11">
      <pivotArea outline="0" fieldPosition="0">
        <references count="1">
          <reference field="4294967294" count="1">
            <x v="0"/>
          </reference>
        </references>
      </pivotArea>
    </format>
    <format dxfId="1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0673E6-F105-4A44-ACC7-824ACADE72A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05870-BF70-444E-8C09-74FEC5D88BC0}"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22"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7"/>
  </dataFields>
  <formats count="1">
    <format dxfId="12">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26F6A9-F1DA-4B8B-B7E0-6DCE20233900}"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8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7"/>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3DADCF-2A66-4F3C-ABB2-1A258314D81A}"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9"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7"/>
  </dataFields>
  <formats count="2">
    <format dxfId="2">
      <pivotArea collapsedLevelsAreSubtotals="1" fieldPosition="0">
        <references count="1">
          <reference field="19" count="1">
            <x v="0"/>
          </reference>
        </references>
      </pivotArea>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3DB59-A0DF-4E3C-A680-C790C23E5609}"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0:H5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51AFC4-63C6-4DE1-854C-8D914E15D070}"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E7AC04-94D5-42A1-AC95-28368C03004B}" sourceName="Region">
  <pivotTables>
    <pivotTable tabId="3" name="PivotTable7"/>
  </pivotTables>
  <data>
    <tabular pivotCacheId="181603093">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E6E94D-C863-46BD-BAB7-AC0F7A991CFB}" sourceName="Segment">
  <pivotTables>
    <pivotTable tabId="3" name="PivotTable7"/>
  </pivotTables>
  <data>
    <tabular pivotCacheId="18160309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1E4881-E6CC-4E9D-A0F4-3E7C45A8026F}" cache="Slicer_Region" caption="Region" columnCount="4" showCaption="0" style="SlicerStyleLight5" rowHeight="241300"/>
  <slicer name="Segment" xr10:uid="{FE47FF72-EE23-4158-936B-F3D7DA80B19C}" cache="Slicer_Segment" caption="Segment" columnCount="3"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406C2-7D40-4EFC-8134-7245951A5226}" name="Furniture_Sales" displayName="Furniture_Sales" ref="A1:T2122" tableType="queryTable" totalsRowShown="0">
  <autoFilter ref="A1:T2122" xr:uid="{30F406C2-7D40-4EFC-8134-7245951A5226}"/>
  <tableColumns count="20">
    <tableColumn id="1" xr3:uid="{BCEA0B8F-E3AD-4A62-9FBB-ACA2ACCFEF10}" uniqueName="1" name="Order ID" queryTableFieldId="1" dataDxfId="29"/>
    <tableColumn id="2" xr3:uid="{8CD344DC-156C-498A-B854-8F6EDAFEF115}" uniqueName="2" name="Order Date" queryTableFieldId="2" dataDxfId="7"/>
    <tableColumn id="3" xr3:uid="{270625CB-1856-4EA0-87F7-309A9C2AD33D}" uniqueName="3" name="Ship Date" queryTableFieldId="3" dataDxfId="6"/>
    <tableColumn id="4" xr3:uid="{AE5F3D72-64DB-4774-8BED-382C71A323D2}" uniqueName="4" name="Ship Mode" queryTableFieldId="4" dataDxfId="28"/>
    <tableColumn id="5" xr3:uid="{B2B3333B-CC15-4161-9BA3-672F78924FC9}" uniqueName="5" name="Customer ID" queryTableFieldId="5" dataDxfId="27"/>
    <tableColumn id="6" xr3:uid="{92021701-1616-484C-9450-D286CFAF2ACF}" uniqueName="6" name="Customer Name" queryTableFieldId="6" dataDxfId="26"/>
    <tableColumn id="7" xr3:uid="{7DDC50AA-225F-4BA7-B173-88C4782D806E}" uniqueName="7" name="Segment" queryTableFieldId="7" dataDxfId="25"/>
    <tableColumn id="8" xr3:uid="{9F7D261D-62D1-4388-BF39-D44CA6513DEC}" uniqueName="8" name="Country" queryTableFieldId="8" dataDxfId="24"/>
    <tableColumn id="9" xr3:uid="{9BEAC282-BFBF-4647-B11A-F80681E5ECC1}" uniqueName="9" name="City" queryTableFieldId="9" dataDxfId="23"/>
    <tableColumn id="10" xr3:uid="{B942527F-59ED-4995-BA72-2C92459531E1}" uniqueName="10" name="State" queryTableFieldId="10" dataDxfId="22"/>
    <tableColumn id="11" xr3:uid="{07F4484A-8C7F-49F8-BD9A-62E9F8174496}" uniqueName="11" name="Region" queryTableFieldId="11" dataDxfId="21"/>
    <tableColumn id="12" xr3:uid="{E8C737FA-5C71-43DA-B237-A0F09D3AC26D}" uniqueName="12" name="Product ID" queryTableFieldId="12" dataDxfId="20"/>
    <tableColumn id="13" xr3:uid="{98252C8F-614A-4066-958F-CC658A499AEE}" uniqueName="13" name="Category" queryTableFieldId="13" dataDxfId="19"/>
    <tableColumn id="14" xr3:uid="{A1308AAE-C7E8-42A2-A4D4-D92561C74E7C}" uniqueName="14" name="Sub-Category" queryTableFieldId="14" dataDxfId="18"/>
    <tableColumn id="15" xr3:uid="{BD63A525-454F-489E-A93D-398EFE69C4DC}" uniqueName="15" name="Product Name" queryTableFieldId="15" dataDxfId="17"/>
    <tableColumn id="16" xr3:uid="{C67CBB71-D26F-49E2-A1E6-47CC3ECF35A2}" uniqueName="16" name="Sales" queryTableFieldId="16"/>
    <tableColumn id="17" xr3:uid="{6E5C2657-297A-4F1F-BCAB-C061D706CE58}" uniqueName="17" name="Quantity" queryTableFieldId="17"/>
    <tableColumn id="18" xr3:uid="{004D55BC-5A36-449A-A995-832443563BF1}" uniqueName="18" name="Profit" queryTableFieldId="18"/>
    <tableColumn id="19" xr3:uid="{B304F5E1-692F-4431-A1D9-F715FBD65AC5}" uniqueName="19" name="Duration" queryTableFieldId="19" dataDxfId="16"/>
    <tableColumn id="20" xr3:uid="{7BFA7726-C5F8-4ED0-9C22-A9B4A622D656}" uniqueName="20" name="Month" queryTableFieldId="20"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C855-0587-4BB1-817D-DD56BDF532B9}">
  <dimension ref="A1:T2122"/>
  <sheetViews>
    <sheetView topLeftCell="M2102" workbookViewId="0"/>
  </sheetViews>
  <sheetFormatPr defaultRowHeight="14.5" x14ac:dyDescent="0.35"/>
  <cols>
    <col min="1" max="1" width="14.453125" bestFit="1" customWidth="1"/>
    <col min="2" max="2" width="12.453125" bestFit="1" customWidth="1"/>
    <col min="3" max="3" width="11.08984375" bestFit="1" customWidth="1"/>
    <col min="4" max="4" width="13.08984375" bestFit="1" customWidth="1"/>
    <col min="5" max="5" width="13.54296875" bestFit="1" customWidth="1"/>
    <col min="6" max="6" width="21.08984375" bestFit="1" customWidth="1"/>
    <col min="7" max="7" width="11.1796875" bestFit="1" customWidth="1"/>
    <col min="8" max="8" width="11.81640625" bestFit="1" customWidth="1"/>
    <col min="9" max="9" width="15.54296875" bestFit="1" customWidth="1"/>
    <col min="10" max="10" width="17.36328125" bestFit="1" customWidth="1"/>
    <col min="12" max="12" width="15.90625" bestFit="1" customWidth="1"/>
    <col min="13" max="13" width="10.54296875" bestFit="1" customWidth="1"/>
    <col min="14" max="14" width="14.26953125" bestFit="1" customWidth="1"/>
    <col min="15" max="15" width="36.90625" bestFit="1" customWidth="1"/>
    <col min="16" max="16" width="9.81640625" bestFit="1" customWidth="1"/>
    <col min="17" max="18" width="10.453125" bestFit="1" customWidth="1"/>
    <col min="19" max="19" width="10.54296875" bestFit="1" customWidth="1"/>
    <col min="20" max="20" width="8.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3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3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3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3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3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3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3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3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3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3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3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3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3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3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3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3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3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3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3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3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3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3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3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3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3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3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3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3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3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3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3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3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3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3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3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3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3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3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3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3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3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3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3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3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3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3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3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3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3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3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3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3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3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3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3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3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3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3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3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3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3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3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3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3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3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3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3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3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3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3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3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3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3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3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3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3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3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3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3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3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3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3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3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3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3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3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3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3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3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3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3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3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3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3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3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3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3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3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3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3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3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3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3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3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3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3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3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3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3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3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3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3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3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3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3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3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3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3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3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3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3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3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3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3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3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3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3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3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3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3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3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3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3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3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3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3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3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3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3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3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3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3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3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3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3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3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3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3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3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3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3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3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3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3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3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3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3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3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3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3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3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3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3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3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3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3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3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3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3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3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3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3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3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3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3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3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3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3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3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3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3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3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3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3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3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3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3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3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3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3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3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3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3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3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3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3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3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3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3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3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3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3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3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3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3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3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3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3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3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3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3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3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3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3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3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3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3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3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3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3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3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3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3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3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3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3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3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3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3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3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3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3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3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3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3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3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3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3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3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3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3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3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3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3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3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3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3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3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3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3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3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3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3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3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3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3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3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3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3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3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3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3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3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3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3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3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3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3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3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3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3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3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3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3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3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3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3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3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3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3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3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3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3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3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3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3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3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3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3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3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3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3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3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3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3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3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3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3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3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3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3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3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3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3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3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3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3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3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3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3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3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3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3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3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3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3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3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3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3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3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3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3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3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3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3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3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3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3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3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3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3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3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3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3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3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3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3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3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3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3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3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3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3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3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3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3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3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3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3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3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3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3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3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3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3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3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3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3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3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3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3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3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3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3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3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3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3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3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3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3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3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3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3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3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3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3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3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3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3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3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3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3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3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3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3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3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3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3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3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3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3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3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3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3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3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3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3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3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3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3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3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3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3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3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3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3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3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3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3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3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3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3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3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3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3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3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3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3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3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3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3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3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3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3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3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3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3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3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3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3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3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3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3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3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3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3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3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3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3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3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3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3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3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3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3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3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3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3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3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3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3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3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3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3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3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3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3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3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3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3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3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3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3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3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3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3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3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3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3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3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3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3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3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3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3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3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3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3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3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3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3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3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3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3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3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3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3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3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3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3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3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3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3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3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3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3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3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3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3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3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3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3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3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3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3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3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3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3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3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3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3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3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3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3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3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3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3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3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3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3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3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3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3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3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3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3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3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3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3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3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3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3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3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3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3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3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3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3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3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3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3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3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3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3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3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3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3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3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3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3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3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3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3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3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3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3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3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3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3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3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3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3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3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3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3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3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3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3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3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3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3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3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3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3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3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3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3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3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3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3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3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3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3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3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3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3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3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3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3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3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3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3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3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3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3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3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3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3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3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3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3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3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3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3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3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3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3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3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3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3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3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3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3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3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3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3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3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3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3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3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3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3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3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3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3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3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3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3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3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3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3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3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3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3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3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3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3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3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3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3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3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3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3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3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3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3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3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3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3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3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3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3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3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3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3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3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3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3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3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3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3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3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3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3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3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3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3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3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3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3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3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3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3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3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3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3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3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3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3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3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3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3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3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3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3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3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3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3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3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3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3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3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3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3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3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3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3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3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3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3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3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3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3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3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3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3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3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3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3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3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3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3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3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3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3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3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3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3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3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3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3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3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3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3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3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3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3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3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3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3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3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3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3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3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3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3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3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3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3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3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3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3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3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3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3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3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3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3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3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3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3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3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3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3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3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3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3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3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3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3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3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3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3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3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3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3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3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3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3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3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3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3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3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3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3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3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3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3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3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3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3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3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3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3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3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3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3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3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3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3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3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3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3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3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3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3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3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3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3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3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3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3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3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3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3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3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3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3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3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3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3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3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3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3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3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3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3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3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3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3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3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3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3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3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3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3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3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3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3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3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3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3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3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3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3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3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3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3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3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3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3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3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3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3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3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3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3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3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3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3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3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3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3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3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3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3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3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3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3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3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3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3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3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3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3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3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3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3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3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3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3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3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3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3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3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3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3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3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3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3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3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3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3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3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3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3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3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3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3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3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3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3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3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3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3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3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3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3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3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3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3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3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3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3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3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3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3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3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3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3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3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3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3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3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3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3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3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3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3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3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3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3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3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3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3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3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3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3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3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3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3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3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3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3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3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3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3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3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3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3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3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3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3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3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3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3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3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3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3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3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3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3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3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3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3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3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3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3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3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3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3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3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3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3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3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3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3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3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3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3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3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3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3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3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3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3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3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3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3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3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3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3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3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3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3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3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3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3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3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3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3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3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3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3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3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3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3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3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3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3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3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3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3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3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3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3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3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3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3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3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3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3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3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3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3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3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3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3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3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3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3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3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3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3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3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3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3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3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3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3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3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3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3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3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3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3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3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3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3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3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3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3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3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3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3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3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3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3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3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3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3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3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3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3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3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3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3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3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3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3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3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3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3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3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3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3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3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3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3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3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3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3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3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3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3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3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3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3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3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3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3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3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3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3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3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3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3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3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3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3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3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3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3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3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3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3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3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3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3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3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3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3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3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3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3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3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3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3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3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3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3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3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3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3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3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3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3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3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3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3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3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3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3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3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3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3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3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3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3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3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3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3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3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3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3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3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3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3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3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3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3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3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3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3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3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3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3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3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3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3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3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3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3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3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3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3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3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3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3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3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3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3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3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3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3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3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3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3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3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3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3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3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3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3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3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3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3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3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3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3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3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3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3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3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3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3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3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3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3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3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3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3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3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3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3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3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3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3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3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3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3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3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3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3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3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3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3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3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3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3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3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3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3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3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3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3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3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3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3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3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3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3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3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3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3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3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3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3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3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3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3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3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3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3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3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3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3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3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3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3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3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3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3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3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3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3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3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3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3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3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3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3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3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3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3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3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3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3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3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3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3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3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3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3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3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3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3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3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3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3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3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3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3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3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3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3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3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3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3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3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3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3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3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3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3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3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3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3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3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3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3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3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3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3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3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3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3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3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3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3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3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3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3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3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3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3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3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3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3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3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3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3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3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3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3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3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3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3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3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3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3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3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3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3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3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3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3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3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3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3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3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3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3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3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3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3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3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3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3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3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3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3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3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3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3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3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3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3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3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3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3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3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3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3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3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3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3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3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3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3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3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3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3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3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3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3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3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3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3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3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3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3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3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3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3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3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3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3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3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3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3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3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3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3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3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3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3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3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3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3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3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3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3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3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3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3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3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3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3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3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3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3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3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3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3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3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3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3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3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3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3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3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3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3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3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3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3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3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3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3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3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3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3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3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3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3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3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3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3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3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3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3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3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3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3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3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3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3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3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3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3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3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3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3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3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3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3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3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3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3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3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3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3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3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3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3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3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3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3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3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3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3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3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3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3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3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3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3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3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3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3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3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3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3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3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3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3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3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3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3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3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3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3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3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3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3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3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3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3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3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3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3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3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3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3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3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3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3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3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3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3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3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3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3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3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3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3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3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3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3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3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3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3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3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3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3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3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3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3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3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3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3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3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3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3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3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3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3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3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3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3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3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3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3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3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3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3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3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3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3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3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3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3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3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3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3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3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3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3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3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3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3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3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3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3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3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3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3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3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3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3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3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3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3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3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3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3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3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3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3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3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3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3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3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3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3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3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3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3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3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3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3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3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3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3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3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3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3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3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3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3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3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3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3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3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3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3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3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3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3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3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3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3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3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3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3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3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3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3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3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3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3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3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3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3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3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3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3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3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3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3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3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3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3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3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3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3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3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3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3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3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3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3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3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3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3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3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3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3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3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3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3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3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3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3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3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3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3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3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3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3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3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3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3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3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3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3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3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3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3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3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3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3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3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3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3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3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3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3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3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3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3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3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3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3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3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3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3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3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3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3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3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3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3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3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3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3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3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3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3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3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3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3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3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3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3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3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3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3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3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3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3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3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3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3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3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3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3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3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3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3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3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3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3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3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3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3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3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3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3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3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3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3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3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3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3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3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3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3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3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3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3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3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3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3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3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3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3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3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3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3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3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3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3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3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3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3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3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3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3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3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3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3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3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3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3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3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3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3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3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3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3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3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3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3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3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3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3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3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3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3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3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3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3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3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3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3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3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3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3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3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3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3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3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3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3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3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3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3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3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3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3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3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3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3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3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3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3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3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3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3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3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3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3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3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3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3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3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3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3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3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3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3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3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3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3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3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3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3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3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3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3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3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3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3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3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3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3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3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3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3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3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3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3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3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3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3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3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3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3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3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3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3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3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3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3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3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3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3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3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3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3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3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3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3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3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3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3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3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3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3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3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3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3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3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3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3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3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3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3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3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3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3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3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3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3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3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3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3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3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3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3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3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3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3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3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3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3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3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3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3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3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3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3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3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3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3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3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3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3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3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3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3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3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3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3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3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3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3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3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3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3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3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3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3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3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3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3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3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3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3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3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3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3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3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3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3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3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3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3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3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3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3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3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3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3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3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3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3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3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3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3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3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3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3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3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3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3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3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3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3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3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3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3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3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3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3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3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3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3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3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3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3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3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3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3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3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3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3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3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3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3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3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3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3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3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3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3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3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3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3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3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3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3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3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3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3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3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3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3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3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3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3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3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3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3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3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3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3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3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3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3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3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3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3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3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3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3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3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3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3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3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3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3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3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3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3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3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3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3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3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3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3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3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3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3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3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3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3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3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3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3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3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3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3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3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3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3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3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3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3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3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3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3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3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3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3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3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3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3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3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3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3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3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3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3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3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3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3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3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3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3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3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3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3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3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3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3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3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3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3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3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3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3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3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3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3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3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3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3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3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3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3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3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3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3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3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3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3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3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3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3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3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3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3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3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3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3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3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3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3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3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3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3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3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3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3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3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3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3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3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3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3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3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3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3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3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3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3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3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108E-BC1F-409D-B366-A6014F7E7C3C}">
  <dimension ref="A3:L85"/>
  <sheetViews>
    <sheetView topLeftCell="A36" workbookViewId="0">
      <selection activeCell="C39" sqref="C39"/>
    </sheetView>
  </sheetViews>
  <sheetFormatPr defaultRowHeight="14.5" x14ac:dyDescent="0.35"/>
  <cols>
    <col min="1" max="1" width="12.36328125" bestFit="1" customWidth="1"/>
    <col min="2" max="2" width="11.26953125" bestFit="1" customWidth="1"/>
    <col min="3" max="5" width="11.81640625" bestFit="1" customWidth="1"/>
    <col min="7" max="7" width="12.36328125" bestFit="1" customWidth="1"/>
    <col min="8" max="8" width="11.26953125" bestFit="1" customWidth="1"/>
    <col min="11" max="11" width="10.81640625" bestFit="1" customWidth="1"/>
    <col min="12" max="12" width="9.453125" bestFit="1" customWidth="1"/>
  </cols>
  <sheetData>
    <row r="3" spans="1:12" x14ac:dyDescent="0.35">
      <c r="A3" t="s">
        <v>4408</v>
      </c>
      <c r="B3" t="s">
        <v>4409</v>
      </c>
      <c r="C3" t="s">
        <v>4410</v>
      </c>
      <c r="G3" s="10" t="s">
        <v>4417</v>
      </c>
      <c r="H3" s="10"/>
      <c r="I3" s="10"/>
      <c r="J3" s="10"/>
      <c r="K3" s="10"/>
    </row>
    <row r="4" spans="1:12" x14ac:dyDescent="0.35">
      <c r="A4" s="11">
        <v>741999.79529999977</v>
      </c>
      <c r="B4" s="11">
        <v>8028</v>
      </c>
      <c r="C4" s="11">
        <v>18451.272799999999</v>
      </c>
      <c r="G4" t="s">
        <v>4418</v>
      </c>
      <c r="H4" t="s">
        <v>4425</v>
      </c>
      <c r="I4" t="s">
        <v>4422</v>
      </c>
      <c r="J4" t="s">
        <v>4423</v>
      </c>
      <c r="K4" t="s">
        <v>4424</v>
      </c>
    </row>
    <row r="5" spans="1:12" x14ac:dyDescent="0.35">
      <c r="G5" t="s">
        <v>4419</v>
      </c>
      <c r="H5" s="8">
        <f>A4</f>
        <v>741999.79529999977</v>
      </c>
      <c r="I5" s="5">
        <f>B11</f>
        <v>215387.26920000004</v>
      </c>
      <c r="J5" s="5">
        <f>B10</f>
        <v>198901.43600000019</v>
      </c>
      <c r="K5" s="4">
        <f>(I5-J5)/J5</f>
        <v>8.2884435283814811E-2</v>
      </c>
      <c r="L5" t="str">
        <f>IF(K5&gt;0,"↑","↓")&amp;TEXT(ABS(K5),"0%")&amp;" "&amp;"YoY"</f>
        <v>↑8% YoY</v>
      </c>
    </row>
    <row r="6" spans="1:12" x14ac:dyDescent="0.35">
      <c r="G6" t="s">
        <v>4420</v>
      </c>
      <c r="H6" s="6">
        <f>B4</f>
        <v>8028</v>
      </c>
      <c r="I6" s="6">
        <f>C11</f>
        <v>2437</v>
      </c>
      <c r="J6" s="6">
        <f>C10</f>
        <v>2193</v>
      </c>
      <c r="K6" s="4">
        <f t="shared" ref="K6:K7" si="0">(I6-J6)/J6</f>
        <v>0.11126310989512084</v>
      </c>
      <c r="L6" t="str">
        <f t="shared" ref="L6:L7" si="1">IF(K6&gt;0,"↑","↓")&amp;TEXT(ABS(K6),"0%")&amp;" "&amp;"YoY"</f>
        <v>↑11% YoY</v>
      </c>
    </row>
    <row r="7" spans="1:12" x14ac:dyDescent="0.35">
      <c r="A7" s="2" t="s">
        <v>4411</v>
      </c>
      <c r="B7" t="s">
        <v>4408</v>
      </c>
      <c r="C7" t="s">
        <v>4409</v>
      </c>
      <c r="D7" t="s">
        <v>4410</v>
      </c>
      <c r="G7" t="s">
        <v>4421</v>
      </c>
      <c r="H7" s="5">
        <f>C4</f>
        <v>18451.272799999999</v>
      </c>
      <c r="I7" s="5">
        <f>D11</f>
        <v>3018.3912999999957</v>
      </c>
      <c r="J7" s="5">
        <f>D10</f>
        <v>6959.9530999999979</v>
      </c>
      <c r="K7" s="4">
        <f t="shared" si="0"/>
        <v>-0.56632016672641128</v>
      </c>
      <c r="L7" t="str">
        <f t="shared" si="1"/>
        <v>↓57% YoY</v>
      </c>
    </row>
    <row r="8" spans="1:12" x14ac:dyDescent="0.35">
      <c r="A8" s="3" t="s">
        <v>4413</v>
      </c>
      <c r="B8" s="11">
        <v>157192.85310000001</v>
      </c>
      <c r="C8" s="11">
        <v>1623</v>
      </c>
      <c r="D8" s="11">
        <v>5457.7255000000059</v>
      </c>
    </row>
    <row r="9" spans="1:12" x14ac:dyDescent="0.35">
      <c r="A9" s="3" t="s">
        <v>4414</v>
      </c>
      <c r="B9" s="11">
        <v>170518.23700000011</v>
      </c>
      <c r="C9" s="11">
        <v>1775</v>
      </c>
      <c r="D9" s="11">
        <v>3015.2028999999993</v>
      </c>
    </row>
    <row r="10" spans="1:12" x14ac:dyDescent="0.35">
      <c r="A10" s="3" t="s">
        <v>4415</v>
      </c>
      <c r="B10" s="11">
        <v>198901.43600000019</v>
      </c>
      <c r="C10" s="11">
        <v>2193</v>
      </c>
      <c r="D10" s="11">
        <v>6959.9530999999979</v>
      </c>
    </row>
    <row r="11" spans="1:12" x14ac:dyDescent="0.35">
      <c r="A11" s="3" t="s">
        <v>4416</v>
      </c>
      <c r="B11" s="11">
        <v>215387.26920000004</v>
      </c>
      <c r="C11" s="11">
        <v>2437</v>
      </c>
      <c r="D11" s="11">
        <v>3018.3912999999957</v>
      </c>
    </row>
    <row r="12" spans="1:12" x14ac:dyDescent="0.35">
      <c r="A12" s="3" t="s">
        <v>4412</v>
      </c>
      <c r="B12" s="11">
        <v>741999.79530000035</v>
      </c>
      <c r="C12" s="11">
        <v>8028</v>
      </c>
      <c r="D12" s="11">
        <v>18451.272799999999</v>
      </c>
    </row>
    <row r="14" spans="1:12" x14ac:dyDescent="0.35">
      <c r="A14" s="3" t="s">
        <v>4426</v>
      </c>
      <c r="G14" t="s">
        <v>4428</v>
      </c>
    </row>
    <row r="15" spans="1:12" x14ac:dyDescent="0.35">
      <c r="A15" t="str">
        <f>"Peak Sales Month: "&amp; INDEX(A17:A28, MATCH(MAX(B17:B28), B17:B28, 0)) &amp; " with "&amp;TEXT(MAX(B17:B28), "$#,##0")&amp; " in sales."</f>
        <v>Peak Sales Month: Dec with $50,051 in sales.</v>
      </c>
      <c r="G15" t="str">
        <f>"Top Selling City: "&amp; INDEX(G17:G21, MATCH(MAX(H17:H21), H17:H21, 0)) &amp; " with "&amp;TEXT(MAX(H17:H21), "$#,##0")&amp; " in sales."</f>
        <v>Top Selling City: New York City with $75,691 in sales.</v>
      </c>
    </row>
    <row r="16" spans="1:12" x14ac:dyDescent="0.35">
      <c r="A16" s="2" t="s">
        <v>4411</v>
      </c>
      <c r="B16" t="s">
        <v>4408</v>
      </c>
      <c r="G16" s="2" t="s">
        <v>4411</v>
      </c>
      <c r="H16" t="s">
        <v>4408</v>
      </c>
      <c r="K16" s="8">
        <f>MAX(J17:J21)*1.2</f>
        <v>90829.258800000011</v>
      </c>
    </row>
    <row r="17" spans="1:11" x14ac:dyDescent="0.35">
      <c r="A17" s="3" t="s">
        <v>169</v>
      </c>
      <c r="B17" s="8">
        <v>8757.7189999999991</v>
      </c>
      <c r="G17" s="3" t="s">
        <v>52</v>
      </c>
      <c r="H17" s="8">
        <v>54000.040999999976</v>
      </c>
      <c r="I17" s="3" t="s">
        <v>52</v>
      </c>
      <c r="J17" s="8">
        <v>54000.040999999976</v>
      </c>
      <c r="K17" s="8">
        <f>$K$16-J17</f>
        <v>36829.217800000035</v>
      </c>
    </row>
    <row r="18" spans="1:11" x14ac:dyDescent="0.35">
      <c r="A18" s="3" t="s">
        <v>297</v>
      </c>
      <c r="B18" s="8">
        <v>4191.915</v>
      </c>
      <c r="G18" s="3" t="s">
        <v>173</v>
      </c>
      <c r="H18" s="8">
        <v>75691.049000000014</v>
      </c>
      <c r="I18" s="3" t="s">
        <v>173</v>
      </c>
      <c r="J18" s="8">
        <v>75691.049000000014</v>
      </c>
      <c r="K18" s="8">
        <f t="shared" ref="K18:K21" si="2">$K$16-J18</f>
        <v>15138.209799999997</v>
      </c>
    </row>
    <row r="19" spans="1:11" x14ac:dyDescent="0.35">
      <c r="A19" s="3" t="s">
        <v>195</v>
      </c>
      <c r="B19" s="8">
        <v>14777.923999999999</v>
      </c>
      <c r="G19" s="3" t="s">
        <v>65</v>
      </c>
      <c r="H19" s="8">
        <v>36495.541000000012</v>
      </c>
      <c r="I19" s="3" t="s">
        <v>65</v>
      </c>
      <c r="J19" s="8">
        <v>36495.541000000012</v>
      </c>
      <c r="K19" s="8">
        <f t="shared" si="2"/>
        <v>54333.717799999999</v>
      </c>
    </row>
    <row r="20" spans="1:11" x14ac:dyDescent="0.35">
      <c r="A20" s="3" t="s">
        <v>113</v>
      </c>
      <c r="B20" s="8">
        <v>15059.305000000002</v>
      </c>
      <c r="G20" s="3" t="s">
        <v>328</v>
      </c>
      <c r="H20" s="8">
        <v>36357.307999999997</v>
      </c>
      <c r="I20" s="3" t="s">
        <v>328</v>
      </c>
      <c r="J20" s="8">
        <v>36357.307999999997</v>
      </c>
      <c r="K20" s="8">
        <f t="shared" si="2"/>
        <v>54471.950800000013</v>
      </c>
    </row>
    <row r="21" spans="1:11" x14ac:dyDescent="0.35">
      <c r="A21" s="3" t="s">
        <v>161</v>
      </c>
      <c r="B21" s="8">
        <v>13458.961499999996</v>
      </c>
      <c r="G21" s="3" t="s">
        <v>191</v>
      </c>
      <c r="H21" s="8">
        <v>40995.877999999997</v>
      </c>
      <c r="I21" s="3" t="s">
        <v>191</v>
      </c>
      <c r="J21" s="8">
        <v>40995.877999999997</v>
      </c>
      <c r="K21" s="8">
        <f t="shared" si="2"/>
        <v>49833.380800000014</v>
      </c>
    </row>
    <row r="22" spans="1:11" x14ac:dyDescent="0.35">
      <c r="A22" s="3" t="s">
        <v>59</v>
      </c>
      <c r="B22" s="8">
        <v>18512.566500000001</v>
      </c>
      <c r="G22" s="3" t="s">
        <v>4412</v>
      </c>
      <c r="H22" s="8">
        <v>243539.81699999998</v>
      </c>
    </row>
    <row r="23" spans="1:11" x14ac:dyDescent="0.35">
      <c r="A23" s="3" t="s">
        <v>71</v>
      </c>
      <c r="B23" s="8">
        <v>22212.769999999993</v>
      </c>
    </row>
    <row r="24" spans="1:11" x14ac:dyDescent="0.35">
      <c r="A24" s="3" t="s">
        <v>253</v>
      </c>
      <c r="B24" s="8">
        <v>17137.474999999999</v>
      </c>
    </row>
    <row r="25" spans="1:11" x14ac:dyDescent="0.35">
      <c r="A25" s="3" t="s">
        <v>77</v>
      </c>
      <c r="B25" s="8">
        <v>32335.855499999994</v>
      </c>
      <c r="G25" s="3" t="s">
        <v>4430</v>
      </c>
    </row>
    <row r="26" spans="1:11" x14ac:dyDescent="0.35">
      <c r="A26" s="3" t="s">
        <v>48</v>
      </c>
      <c r="B26" s="8">
        <v>18322.699000000001</v>
      </c>
      <c r="G26" t="str">
        <f>"Most orders ("&amp; TEXT(MAX(H28:H35), "0%") &amp;") were delivered in " &amp; INDEX(G28:G35, MATCH(MAX(H28:H35), H28:H35, 0)) &amp; "."</f>
        <v>Most orders (28%) were delivered in 4- days.</v>
      </c>
    </row>
    <row r="27" spans="1:11" x14ac:dyDescent="0.35">
      <c r="A27" s="3" t="s">
        <v>34</v>
      </c>
      <c r="B27" s="8">
        <v>37794.448499999962</v>
      </c>
      <c r="G27" s="2" t="s">
        <v>4411</v>
      </c>
      <c r="H27" t="s">
        <v>4429</v>
      </c>
    </row>
    <row r="28" spans="1:11" x14ac:dyDescent="0.35">
      <c r="A28" s="3" t="s">
        <v>96</v>
      </c>
      <c r="B28" s="8">
        <v>50051.10449999995</v>
      </c>
      <c r="G28" s="3" t="s">
        <v>430</v>
      </c>
      <c r="H28" s="9">
        <v>5.469118340405469E-2</v>
      </c>
    </row>
    <row r="29" spans="1:11" x14ac:dyDescent="0.35">
      <c r="A29" s="3" t="s">
        <v>4412</v>
      </c>
      <c r="B29" s="8">
        <v>252612.74349999992</v>
      </c>
      <c r="G29" s="3" t="s">
        <v>123</v>
      </c>
      <c r="H29" s="9">
        <v>3.6303630363036306E-2</v>
      </c>
    </row>
    <row r="30" spans="1:11" x14ac:dyDescent="0.35">
      <c r="G30" s="3" t="s">
        <v>70</v>
      </c>
      <c r="H30" s="9">
        <v>0.14615747289014616</v>
      </c>
    </row>
    <row r="31" spans="1:11" x14ac:dyDescent="0.35">
      <c r="G31" s="3" t="s">
        <v>33</v>
      </c>
      <c r="H31" s="9">
        <v>8.7694483734087697E-2</v>
      </c>
    </row>
    <row r="32" spans="1:11" x14ac:dyDescent="0.35">
      <c r="G32" s="3" t="s">
        <v>83</v>
      </c>
      <c r="H32" s="9">
        <v>0.28335690711928335</v>
      </c>
    </row>
    <row r="33" spans="1:8" x14ac:dyDescent="0.35">
      <c r="G33" s="3" t="s">
        <v>58</v>
      </c>
      <c r="H33" s="9">
        <v>0.2197076850542197</v>
      </c>
    </row>
    <row r="34" spans="1:8" x14ac:dyDescent="0.35">
      <c r="G34" s="3" t="s">
        <v>129</v>
      </c>
      <c r="H34" s="9">
        <v>0.11126826968411127</v>
      </c>
    </row>
    <row r="35" spans="1:8" x14ac:dyDescent="0.35">
      <c r="A35" t="s">
        <v>4427</v>
      </c>
      <c r="G35" s="3" t="s">
        <v>47</v>
      </c>
      <c r="H35" s="9">
        <v>6.0820367751060818E-2</v>
      </c>
    </row>
    <row r="36" spans="1:8" x14ac:dyDescent="0.35">
      <c r="A36" s="2" t="s">
        <v>4411</v>
      </c>
      <c r="B36" t="s">
        <v>4408</v>
      </c>
      <c r="C36" t="s">
        <v>4433</v>
      </c>
      <c r="D36" t="s">
        <v>4419</v>
      </c>
      <c r="G36" s="3" t="s">
        <v>4412</v>
      </c>
      <c r="H36" s="9">
        <v>1</v>
      </c>
    </row>
    <row r="37" spans="1:8" x14ac:dyDescent="0.35">
      <c r="A37" s="3" t="s">
        <v>1276</v>
      </c>
      <c r="B37" s="8">
        <v>6332.48</v>
      </c>
      <c r="C37" s="3" t="s">
        <v>1276</v>
      </c>
      <c r="D37" s="8">
        <v>6332.48</v>
      </c>
    </row>
    <row r="38" spans="1:8" x14ac:dyDescent="0.35">
      <c r="A38" s="3" t="s">
        <v>520</v>
      </c>
      <c r="B38" s="8">
        <v>13525.291000000001</v>
      </c>
      <c r="C38" s="3" t="s">
        <v>520</v>
      </c>
      <c r="D38" s="8">
        <v>13525.291000000001</v>
      </c>
      <c r="G38" s="3" t="s">
        <v>4431</v>
      </c>
    </row>
    <row r="39" spans="1:8" x14ac:dyDescent="0.35">
      <c r="A39" s="3" t="s">
        <v>1058</v>
      </c>
      <c r="B39" s="8">
        <v>3187.55</v>
      </c>
      <c r="C39" s="3" t="s">
        <v>1058</v>
      </c>
      <c r="D39" s="8">
        <v>3187.55</v>
      </c>
      <c r="G39" t="str">
        <f>"Most Orders Used "&amp;INDEX(G41:G44,MATCH(MAX(H41:H44),H41:H44,0))&amp;" ("&amp;TEXT(MAX(H41:H44),"0%")&amp;")"</f>
        <v>Most Orders Used Standard Class (59%)</v>
      </c>
    </row>
    <row r="40" spans="1:8" x14ac:dyDescent="0.35">
      <c r="A40" s="3" t="s">
        <v>53</v>
      </c>
      <c r="B40" s="8">
        <v>156064.60149999999</v>
      </c>
      <c r="C40" s="3" t="s">
        <v>53</v>
      </c>
      <c r="D40" s="8">
        <v>156064.60149999999</v>
      </c>
      <c r="G40" s="2" t="s">
        <v>4411</v>
      </c>
      <c r="H40" t="s">
        <v>4429</v>
      </c>
    </row>
    <row r="41" spans="1:8" x14ac:dyDescent="0.35">
      <c r="A41" s="3" t="s">
        <v>180</v>
      </c>
      <c r="B41" s="8">
        <v>13243.037</v>
      </c>
      <c r="C41" s="3" t="s">
        <v>180</v>
      </c>
      <c r="D41" s="8">
        <v>13243.037</v>
      </c>
      <c r="G41" s="3" t="s">
        <v>87</v>
      </c>
      <c r="H41" s="9">
        <v>0.15417256011315417</v>
      </c>
    </row>
    <row r="42" spans="1:8" x14ac:dyDescent="0.35">
      <c r="A42" s="3" t="s">
        <v>429</v>
      </c>
      <c r="B42" s="8">
        <v>5174.9870000000001</v>
      </c>
      <c r="C42" s="3" t="s">
        <v>429</v>
      </c>
      <c r="D42" s="8">
        <v>5174.9870000000001</v>
      </c>
      <c r="G42" s="3" t="s">
        <v>425</v>
      </c>
      <c r="H42" s="9">
        <v>5.6105610561056105E-2</v>
      </c>
    </row>
    <row r="43" spans="1:8" x14ac:dyDescent="0.35">
      <c r="A43" s="3" t="s">
        <v>200</v>
      </c>
      <c r="B43" s="8">
        <v>4759.3189999999995</v>
      </c>
      <c r="C43" s="3" t="s">
        <v>200</v>
      </c>
      <c r="D43" s="8">
        <v>4759.3189999999995</v>
      </c>
      <c r="G43" s="3" t="s">
        <v>21</v>
      </c>
      <c r="H43" s="9">
        <v>0.20132013201320131</v>
      </c>
    </row>
    <row r="44" spans="1:8" x14ac:dyDescent="0.35">
      <c r="A44" s="3" t="s">
        <v>980</v>
      </c>
      <c r="B44" s="8">
        <v>1346.58</v>
      </c>
      <c r="C44" s="3" t="s">
        <v>980</v>
      </c>
      <c r="D44" s="8">
        <v>1346.58</v>
      </c>
      <c r="G44" s="3" t="s">
        <v>39</v>
      </c>
      <c r="H44" s="9">
        <v>0.5884016973125884</v>
      </c>
    </row>
    <row r="45" spans="1:8" x14ac:dyDescent="0.35">
      <c r="A45" s="3" t="s">
        <v>43</v>
      </c>
      <c r="B45" s="8">
        <v>22987.03799999999</v>
      </c>
      <c r="C45" s="3" t="s">
        <v>43</v>
      </c>
      <c r="D45" s="8">
        <v>22987.03799999999</v>
      </c>
      <c r="G45" s="3" t="s">
        <v>4412</v>
      </c>
      <c r="H45" s="9">
        <v>1</v>
      </c>
    </row>
    <row r="46" spans="1:8" x14ac:dyDescent="0.35">
      <c r="A46" s="3" t="s">
        <v>667</v>
      </c>
      <c r="B46" s="8">
        <v>8321.48</v>
      </c>
      <c r="C46" s="3" t="s">
        <v>667</v>
      </c>
      <c r="D46" s="8">
        <v>8321.48</v>
      </c>
    </row>
    <row r="47" spans="1:8" x14ac:dyDescent="0.35">
      <c r="A47" s="3" t="s">
        <v>2280</v>
      </c>
      <c r="B47" s="8">
        <v>2595.482</v>
      </c>
      <c r="C47" s="3" t="s">
        <v>2280</v>
      </c>
      <c r="D47" s="8">
        <v>2595.482</v>
      </c>
    </row>
    <row r="48" spans="1:8" x14ac:dyDescent="0.35">
      <c r="A48" s="3" t="s">
        <v>134</v>
      </c>
      <c r="B48" s="8">
        <v>28274.522000000008</v>
      </c>
      <c r="C48" s="3" t="s">
        <v>134</v>
      </c>
      <c r="D48" s="8">
        <v>28274.522000000008</v>
      </c>
      <c r="G48" s="3" t="s">
        <v>4432</v>
      </c>
    </row>
    <row r="49" spans="1:11" x14ac:dyDescent="0.35">
      <c r="A49" s="3" t="s">
        <v>110</v>
      </c>
      <c r="B49" s="8">
        <v>11496.71</v>
      </c>
      <c r="C49" s="3" t="s">
        <v>110</v>
      </c>
      <c r="D49" s="8">
        <v>11496.71</v>
      </c>
      <c r="G49" t="str">
        <f>"Highest Sales from category: "&amp;INDEX(G51:G54, MATCH(MAX(H51:H54), H51:H54, 0))&amp;" ("&amp;TEXT(MAX(H51:H54), "$#,##0")&amp;")"</f>
        <v>Highest Sales from category: Chairs ($328,449)</v>
      </c>
    </row>
    <row r="50" spans="1:11" x14ac:dyDescent="0.35">
      <c r="A50" s="3" t="s">
        <v>801</v>
      </c>
      <c r="B50" s="8">
        <v>2642.3099999999995</v>
      </c>
      <c r="C50" s="3" t="s">
        <v>801</v>
      </c>
      <c r="D50" s="8">
        <v>2642.3099999999995</v>
      </c>
      <c r="G50" s="2" t="s">
        <v>4411</v>
      </c>
      <c r="H50" t="s">
        <v>4408</v>
      </c>
      <c r="K50" s="7">
        <f>MAX(J51:J54)*1.2</f>
        <v>394138.92360000091</v>
      </c>
    </row>
    <row r="51" spans="1:11" x14ac:dyDescent="0.35">
      <c r="A51" s="3" t="s">
        <v>3135</v>
      </c>
      <c r="B51" s="8">
        <v>111.12</v>
      </c>
      <c r="C51" s="3" t="s">
        <v>3135</v>
      </c>
      <c r="D51" s="8">
        <v>111.12</v>
      </c>
      <c r="G51" s="3" t="s">
        <v>31</v>
      </c>
      <c r="H51" s="8">
        <v>114879.99629999997</v>
      </c>
      <c r="I51" s="3" t="s">
        <v>31</v>
      </c>
      <c r="J51" s="8">
        <v>114879.99629999997</v>
      </c>
      <c r="K51" s="7">
        <f>$K$50-J51</f>
        <v>279258.92730000091</v>
      </c>
    </row>
    <row r="52" spans="1:11" x14ac:dyDescent="0.35">
      <c r="A52" s="3" t="s">
        <v>27</v>
      </c>
      <c r="B52" s="8">
        <v>12126.84</v>
      </c>
      <c r="C52" s="3" t="s">
        <v>27</v>
      </c>
      <c r="D52" s="8">
        <v>12126.84</v>
      </c>
      <c r="G52" s="3" t="s">
        <v>36</v>
      </c>
      <c r="H52" s="8">
        <v>328449.10300000076</v>
      </c>
      <c r="I52" s="3" t="s">
        <v>36</v>
      </c>
      <c r="J52" s="8">
        <v>328449.10300000076</v>
      </c>
      <c r="K52" s="7">
        <f t="shared" ref="K52:K54" si="3">$K$50-J52</f>
        <v>65689.820600000152</v>
      </c>
    </row>
    <row r="53" spans="1:11" x14ac:dyDescent="0.35">
      <c r="A53" s="3" t="s">
        <v>1406</v>
      </c>
      <c r="B53" s="8">
        <v>2963.03</v>
      </c>
      <c r="C53" s="3" t="s">
        <v>1406</v>
      </c>
      <c r="D53" s="8">
        <v>2963.03</v>
      </c>
      <c r="G53" s="3" t="s">
        <v>56</v>
      </c>
      <c r="H53" s="8">
        <v>91705.164000000048</v>
      </c>
      <c r="I53" s="3" t="s">
        <v>56</v>
      </c>
      <c r="J53" s="8">
        <v>91705.164000000048</v>
      </c>
      <c r="K53" s="7">
        <f t="shared" si="3"/>
        <v>302433.75960000086</v>
      </c>
    </row>
    <row r="54" spans="1:11" x14ac:dyDescent="0.35">
      <c r="A54" s="3" t="s">
        <v>1788</v>
      </c>
      <c r="B54" s="8">
        <v>109.48</v>
      </c>
      <c r="C54" s="3" t="s">
        <v>1788</v>
      </c>
      <c r="D54" s="8">
        <v>109.48</v>
      </c>
      <c r="G54" s="3" t="s">
        <v>45</v>
      </c>
      <c r="H54" s="8">
        <v>206965.53200000009</v>
      </c>
      <c r="I54" s="3" t="s">
        <v>45</v>
      </c>
      <c r="J54" s="8">
        <v>206965.53200000009</v>
      </c>
      <c r="K54" s="7">
        <f t="shared" si="3"/>
        <v>187173.39160000082</v>
      </c>
    </row>
    <row r="55" spans="1:11" x14ac:dyDescent="0.35">
      <c r="A55" s="3" t="s">
        <v>1089</v>
      </c>
      <c r="B55" s="8">
        <v>9149.2529999999988</v>
      </c>
      <c r="C55" s="3" t="s">
        <v>1089</v>
      </c>
      <c r="D55" s="8">
        <v>9149.2529999999988</v>
      </c>
      <c r="G55" s="3" t="s">
        <v>4412</v>
      </c>
      <c r="H55" s="8">
        <v>741999.79530000081</v>
      </c>
    </row>
    <row r="56" spans="1:11" x14ac:dyDescent="0.35">
      <c r="A56" s="3" t="s">
        <v>434</v>
      </c>
      <c r="B56" s="8">
        <v>10919.063999999997</v>
      </c>
      <c r="C56" s="3" t="s">
        <v>434</v>
      </c>
      <c r="D56" s="8">
        <v>10919.063999999997</v>
      </c>
    </row>
    <row r="57" spans="1:11" x14ac:dyDescent="0.35">
      <c r="A57" s="3" t="s">
        <v>289</v>
      </c>
      <c r="B57" s="8">
        <v>22321.099999999995</v>
      </c>
      <c r="C57" s="3" t="s">
        <v>289</v>
      </c>
      <c r="D57" s="8">
        <v>22321.099999999995</v>
      </c>
    </row>
    <row r="58" spans="1:11" x14ac:dyDescent="0.35">
      <c r="A58" s="3" t="s">
        <v>166</v>
      </c>
      <c r="B58" s="8">
        <v>7611.35</v>
      </c>
      <c r="C58" s="3" t="s">
        <v>166</v>
      </c>
      <c r="D58" s="8">
        <v>7611.35</v>
      </c>
    </row>
    <row r="59" spans="1:11" x14ac:dyDescent="0.35">
      <c r="A59" s="3" t="s">
        <v>478</v>
      </c>
      <c r="B59" s="8">
        <v>4317.8499999999995</v>
      </c>
      <c r="C59" s="3" t="s">
        <v>478</v>
      </c>
      <c r="D59" s="8">
        <v>4317.8499999999995</v>
      </c>
    </row>
    <row r="60" spans="1:11" x14ac:dyDescent="0.35">
      <c r="A60" s="3" t="s">
        <v>565</v>
      </c>
      <c r="B60" s="8">
        <v>2936.45</v>
      </c>
      <c r="C60" s="3" t="s">
        <v>565</v>
      </c>
      <c r="D60" s="8">
        <v>2936.45</v>
      </c>
    </row>
    <row r="61" spans="1:11" x14ac:dyDescent="0.35">
      <c r="A61" s="3" t="s">
        <v>3701</v>
      </c>
      <c r="B61" s="8">
        <v>63.98</v>
      </c>
      <c r="C61" s="3" t="s">
        <v>3701</v>
      </c>
      <c r="D61" s="8">
        <v>63.98</v>
      </c>
    </row>
    <row r="62" spans="1:11" x14ac:dyDescent="0.35">
      <c r="A62" s="3" t="s">
        <v>841</v>
      </c>
      <c r="B62" s="8">
        <v>1944.7</v>
      </c>
      <c r="C62" s="3" t="s">
        <v>841</v>
      </c>
      <c r="D62" s="8">
        <v>1944.7</v>
      </c>
    </row>
    <row r="63" spans="1:11" x14ac:dyDescent="0.35">
      <c r="A63" s="3" t="s">
        <v>1340</v>
      </c>
      <c r="B63" s="8">
        <v>4635.1720000000005</v>
      </c>
      <c r="C63" s="3" t="s">
        <v>1340</v>
      </c>
      <c r="D63" s="8">
        <v>4635.1720000000005</v>
      </c>
    </row>
    <row r="64" spans="1:11" x14ac:dyDescent="0.35">
      <c r="A64" s="3" t="s">
        <v>884</v>
      </c>
      <c r="B64" s="8">
        <v>1886.4739999999999</v>
      </c>
      <c r="C64" s="3" t="s">
        <v>884</v>
      </c>
      <c r="D64" s="8">
        <v>1886.4739999999999</v>
      </c>
    </row>
    <row r="65" spans="1:4" x14ac:dyDescent="0.35">
      <c r="A65" s="3" t="s">
        <v>362</v>
      </c>
      <c r="B65" s="8">
        <v>6307.0419999999995</v>
      </c>
      <c r="C65" s="3" t="s">
        <v>362</v>
      </c>
      <c r="D65" s="8">
        <v>6307.0419999999995</v>
      </c>
    </row>
    <row r="66" spans="1:4" x14ac:dyDescent="0.35">
      <c r="A66" s="3" t="s">
        <v>1896</v>
      </c>
      <c r="B66" s="8">
        <v>1701.412</v>
      </c>
      <c r="C66" s="3" t="s">
        <v>1896</v>
      </c>
      <c r="D66" s="8">
        <v>1701.412</v>
      </c>
    </row>
    <row r="67" spans="1:4" x14ac:dyDescent="0.35">
      <c r="A67" s="3" t="s">
        <v>120</v>
      </c>
      <c r="B67" s="8">
        <v>93372.728999999978</v>
      </c>
      <c r="C67" s="3" t="s">
        <v>120</v>
      </c>
      <c r="D67" s="8">
        <v>93372.728999999978</v>
      </c>
    </row>
    <row r="68" spans="1:4" x14ac:dyDescent="0.35">
      <c r="A68" s="3" t="s">
        <v>1036</v>
      </c>
      <c r="B68" s="8">
        <v>15155.483999999999</v>
      </c>
      <c r="C68" s="3" t="s">
        <v>1036</v>
      </c>
      <c r="D68" s="8">
        <v>15155.483999999999</v>
      </c>
    </row>
    <row r="69" spans="1:4" x14ac:dyDescent="0.35">
      <c r="A69" s="3" t="s">
        <v>231</v>
      </c>
      <c r="B69" s="8">
        <v>24199.144999999993</v>
      </c>
      <c r="C69" s="3" t="s">
        <v>231</v>
      </c>
      <c r="D69" s="8">
        <v>24199.144999999993</v>
      </c>
    </row>
    <row r="70" spans="1:4" x14ac:dyDescent="0.35">
      <c r="A70" s="3" t="s">
        <v>1522</v>
      </c>
      <c r="B70" s="8">
        <v>8284.1</v>
      </c>
      <c r="C70" s="3" t="s">
        <v>1522</v>
      </c>
      <c r="D70" s="8">
        <v>8284.1</v>
      </c>
    </row>
    <row r="71" spans="1:4" x14ac:dyDescent="0.35">
      <c r="A71" s="3" t="s">
        <v>1517</v>
      </c>
      <c r="B71" s="8">
        <v>6338.1299999999992</v>
      </c>
      <c r="C71" s="3" t="s">
        <v>1517</v>
      </c>
      <c r="D71" s="8">
        <v>6338.1299999999992</v>
      </c>
    </row>
    <row r="72" spans="1:4" x14ac:dyDescent="0.35">
      <c r="A72" s="3" t="s">
        <v>66</v>
      </c>
      <c r="B72" s="8">
        <v>39354.931000000004</v>
      </c>
      <c r="C72" s="3" t="s">
        <v>66</v>
      </c>
      <c r="D72" s="8">
        <v>39354.931000000004</v>
      </c>
    </row>
    <row r="73" spans="1:4" x14ac:dyDescent="0.35">
      <c r="A73" s="3" t="s">
        <v>1645</v>
      </c>
      <c r="B73" s="8">
        <v>5918.7560000000003</v>
      </c>
      <c r="C73" s="3" t="s">
        <v>1645</v>
      </c>
      <c r="D73" s="8">
        <v>5918.7560000000003</v>
      </c>
    </row>
    <row r="74" spans="1:4" x14ac:dyDescent="0.35">
      <c r="A74" s="3" t="s">
        <v>158</v>
      </c>
      <c r="B74" s="8">
        <v>3078.25</v>
      </c>
      <c r="C74" s="3" t="s">
        <v>158</v>
      </c>
      <c r="D74" s="8">
        <v>3078.25</v>
      </c>
    </row>
    <row r="75" spans="1:4" x14ac:dyDescent="0.35">
      <c r="A75" s="3" t="s">
        <v>1826</v>
      </c>
      <c r="B75" s="8">
        <v>324.89999999999998</v>
      </c>
      <c r="C75" s="3" t="s">
        <v>1826</v>
      </c>
      <c r="D75" s="8">
        <v>324.89999999999998</v>
      </c>
    </row>
    <row r="76" spans="1:4" x14ac:dyDescent="0.35">
      <c r="A76" s="3" t="s">
        <v>141</v>
      </c>
      <c r="B76" s="8">
        <v>13506.732</v>
      </c>
      <c r="C76" s="3" t="s">
        <v>141</v>
      </c>
      <c r="D76" s="8">
        <v>13506.732</v>
      </c>
    </row>
    <row r="77" spans="1:4" x14ac:dyDescent="0.35">
      <c r="A77" s="3" t="s">
        <v>92</v>
      </c>
      <c r="B77" s="8">
        <v>60593.291799999992</v>
      </c>
      <c r="C77" s="3" t="s">
        <v>92</v>
      </c>
      <c r="D77" s="8">
        <v>60593.291799999992</v>
      </c>
    </row>
    <row r="78" spans="1:4" x14ac:dyDescent="0.35">
      <c r="A78" s="3" t="s">
        <v>76</v>
      </c>
      <c r="B78" s="8">
        <v>4822.3499999999995</v>
      </c>
      <c r="C78" s="3" t="s">
        <v>76</v>
      </c>
      <c r="D78" s="8">
        <v>4822.3499999999995</v>
      </c>
    </row>
    <row r="79" spans="1:4" x14ac:dyDescent="0.35">
      <c r="A79" s="3" t="s">
        <v>3106</v>
      </c>
      <c r="B79" s="8">
        <v>5120.0999999999995</v>
      </c>
      <c r="C79" s="3" t="s">
        <v>3106</v>
      </c>
      <c r="D79" s="8">
        <v>5120.0999999999995</v>
      </c>
    </row>
    <row r="80" spans="1:4" x14ac:dyDescent="0.35">
      <c r="A80" s="3" t="s">
        <v>716</v>
      </c>
      <c r="B80" s="8">
        <v>25321.949999999993</v>
      </c>
      <c r="C80" s="3" t="s">
        <v>716</v>
      </c>
      <c r="D80" s="8">
        <v>25321.949999999993</v>
      </c>
    </row>
    <row r="81" spans="1:4" x14ac:dyDescent="0.35">
      <c r="A81" s="3" t="s">
        <v>192</v>
      </c>
      <c r="B81" s="8">
        <v>48020.151999999973</v>
      </c>
      <c r="C81" s="3" t="s">
        <v>192</v>
      </c>
      <c r="D81" s="8">
        <v>48020.151999999973</v>
      </c>
    </row>
    <row r="82" spans="1:4" x14ac:dyDescent="0.35">
      <c r="A82" s="3" t="s">
        <v>4286</v>
      </c>
      <c r="B82" s="8">
        <v>673.34400000000005</v>
      </c>
      <c r="C82" s="3" t="s">
        <v>4286</v>
      </c>
      <c r="D82" s="8">
        <v>673.34400000000005</v>
      </c>
    </row>
    <row r="83" spans="1:4" x14ac:dyDescent="0.35">
      <c r="A83" s="3" t="s">
        <v>238</v>
      </c>
      <c r="B83" s="8">
        <v>17256.609999999997</v>
      </c>
      <c r="C83" s="3" t="s">
        <v>238</v>
      </c>
      <c r="D83" s="8">
        <v>17256.609999999997</v>
      </c>
    </row>
    <row r="84" spans="1:4" x14ac:dyDescent="0.35">
      <c r="A84" s="3" t="s">
        <v>3311</v>
      </c>
      <c r="B84" s="8">
        <v>1603.136</v>
      </c>
      <c r="C84" s="3" t="s">
        <v>3311</v>
      </c>
      <c r="D84" s="8">
        <v>1603.136</v>
      </c>
    </row>
    <row r="85" spans="1:4" x14ac:dyDescent="0.35">
      <c r="A85" s="3" t="s">
        <v>4412</v>
      </c>
      <c r="B85" s="8">
        <v>741999.79530000011</v>
      </c>
    </row>
  </sheetData>
  <mergeCells count="1">
    <mergeCell ref="G3:K3"/>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6C78-63B7-4C98-A201-085D7FEBDDB5}">
  <dimension ref="A1"/>
  <sheetViews>
    <sheetView showGridLines="0" tabSelected="1" topLeftCell="B1" zoomScale="70" zoomScaleNormal="70" workbookViewId="0">
      <selection activeCell="C39" sqref="C39"/>
    </sheetView>
  </sheetViews>
  <sheetFormatPr defaultRowHeight="14.5" x14ac:dyDescent="0.35"/>
  <cols>
    <col min="12" max="12" width="8.726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729BA-935F-4355-8C91-2D7EE08BE0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Furniture_Sales</vt:lpstr>
      <vt:lpstr>Pivot Tables</vt:lpstr>
      <vt:lpstr>Dashboard</vt:lpstr>
      <vt:lpstr>categorysales</vt:lpstr>
      <vt:lpstr>mostorders</vt:lpstr>
      <vt:lpstr>profit</vt:lpstr>
      <vt:lpstr>profityoy</vt:lpstr>
      <vt:lpstr>quantity</vt:lpstr>
      <vt:lpstr>quantityyoy</vt:lpstr>
      <vt:lpstr>sales</vt:lpstr>
      <vt:lpstr>salestrend</vt:lpstr>
      <vt:lpstr>salesyoy</vt:lpstr>
      <vt:lpstr>shipmode</vt:lpstr>
      <vt:lpstr>topsellingcity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2026-06-09T16:47:55Z</dcterms:created>
  <dcterms:modified xsi:type="dcterms:W3CDTF">2026-06-11T18:29:49Z</dcterms:modified>
</cp:coreProperties>
</file>